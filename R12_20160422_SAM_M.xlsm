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drawings/drawing6.xml" ContentType="application/vnd.openxmlformats-officedocument.drawing+xml"/>
  <Override PartName="/xl/ctrlProps/ctrlProp216.xml" ContentType="application/vnd.ms-excel.controlproperties+xml"/>
  <Override PartName="/xl/ctrlProps/ctrlProp21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8.xml" ContentType="application/vnd.openxmlformats-officedocument.drawing+xml"/>
  <Override PartName="/xl/ctrlProps/ctrlProp218.xml" ContentType="application/vnd.ms-excel.controlproperties+xml"/>
  <Override PartName="/xl/ctrlProps/ctrlProp21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7.xml" ContentType="application/vnd.openxmlformats-officedocument.spreadsheetml.comments+xml"/>
  <Override PartName="/xl/drawings/drawing10.xml" ContentType="application/vnd.openxmlformats-officedocument.drawing+xml"/>
  <Override PartName="/xl/ctrlProps/ctrlProp220.xml" ContentType="application/vnd.ms-excel.controlproperties+xml"/>
  <Override PartName="/xl/ctrlProps/ctrlProp22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saveExternalLinkValues="0" codeName="ThisWorkbook"/>
  <bookViews>
    <workbookView showHorizontalScroll="0" xWindow="-30" yWindow="15" windowWidth="9555" windowHeight="11760" tabRatio="863" activeTab="2"/>
  </bookViews>
  <sheets>
    <sheet name="Prekrsaj pravila" sheetId="29" r:id="rId1"/>
    <sheet name="Izvjestaj" sheetId="5" r:id="rId2"/>
    <sheet name="Pocetna" sheetId="4" r:id="rId3"/>
    <sheet name="Lista prijave" sheetId="7" r:id="rId4"/>
    <sheet name="Si GT priprema" sheetId="9" r:id="rId5"/>
    <sheet name="Si GT 32" sheetId="45" r:id="rId6"/>
    <sheet name="Si Q priprema" sheetId="16" r:id="rId7"/>
    <sheet name="Si Q RR64" sheetId="20" r:id="rId8"/>
    <sheet name="Do priprema" sheetId="21" r:id="rId9"/>
    <sheet name="Do 8" sheetId="25" r:id="rId10"/>
    <sheet name="MacroCheck" sheetId="41" state="veryHidden" r:id="rId11"/>
  </sheets>
  <definedNames>
    <definedName name="_xlnm.Print_Area" localSheetId="9">'Do 8'!$A$1:$R$81</definedName>
    <definedName name="_xlnm.Print_Area" localSheetId="8">'Do priprema'!$A$1:$O$26</definedName>
    <definedName name="_xlnm.Print_Area" localSheetId="1">Izvjestaj!$A$1:$H$114</definedName>
    <definedName name="_xlnm.Print_Area" localSheetId="3">'Lista prijave'!$A$1:$H$210</definedName>
    <definedName name="_xlnm.Print_Area" localSheetId="10">MacroCheck!$A$1:$G$60</definedName>
    <definedName name="_xlnm.Print_Area" localSheetId="2">Pocetna!$A$1:$G$60</definedName>
    <definedName name="_xlnm.Print_Area" localSheetId="0">'Prekrsaj pravila'!$A$1:$J$43</definedName>
    <definedName name="_xlnm.Print_Area" localSheetId="5">'Si GT 32'!$A$1:$R$81</definedName>
    <definedName name="_xlnm.Print_Area" localSheetId="4">'Si GT priprema'!$A$1:$H$50</definedName>
    <definedName name="_xlnm.Print_Area" localSheetId="6">'Si Q priprema'!$A$1:$H$138</definedName>
    <definedName name="_xlnm.Print_Area" localSheetId="7">'Si Q RR64'!$A$1:$R$176</definedName>
    <definedName name="_xlnm.Print_Titles" localSheetId="8">'Do priprema'!$1:$10</definedName>
    <definedName name="_xlnm.Print_Titles" localSheetId="1">Izvjestaj!$1:$9</definedName>
    <definedName name="_xlnm.Print_Titles" localSheetId="3">'Lista prijave'!$1:$10</definedName>
    <definedName name="_xlnm.Print_Titles" localSheetId="0">'Prekrsaj pravila'!$1:$10</definedName>
    <definedName name="_xlnm.Print_Titles" localSheetId="4">'Si GT priprema'!$1:$10</definedName>
    <definedName name="_xlnm.Print_Titles" localSheetId="6">'Si Q priprema'!$1:$10</definedName>
    <definedName name="_xlnm.Print_Titles" localSheetId="7">'Si Q RR64'!$1:$5</definedName>
  </definedNames>
  <calcPr calcId="145621"/>
</workbook>
</file>

<file path=xl/calcChain.xml><?xml version="1.0" encoding="utf-8"?>
<calcChain xmlns="http://schemas.openxmlformats.org/spreadsheetml/2006/main">
  <c r="K4" i="9" l="1"/>
  <c r="C11" i="21"/>
  <c r="E9" i="25" s="1"/>
  <c r="H11" i="21"/>
  <c r="H24" i="21"/>
  <c r="S10" i="21"/>
  <c r="R10" i="21"/>
  <c r="J81" i="45"/>
  <c r="J80" i="45"/>
  <c r="P81" i="45"/>
  <c r="E81" i="45"/>
  <c r="E80" i="45"/>
  <c r="E79" i="45"/>
  <c r="E78" i="45"/>
  <c r="E77" i="45"/>
  <c r="E76" i="45"/>
  <c r="E75" i="45"/>
  <c r="A75" i="45"/>
  <c r="E74" i="45"/>
  <c r="G71" i="45"/>
  <c r="E71" i="45"/>
  <c r="I70" i="45"/>
  <c r="M68" i="45"/>
  <c r="P64" i="45" s="1"/>
  <c r="R56" i="45" s="1"/>
  <c r="C71" i="45"/>
  <c r="B71" i="45"/>
  <c r="G69" i="45"/>
  <c r="E69" i="45"/>
  <c r="C69" i="45"/>
  <c r="B69" i="45"/>
  <c r="G67" i="45"/>
  <c r="E67" i="45"/>
  <c r="I66" i="45" s="1"/>
  <c r="C67" i="45"/>
  <c r="B67" i="45"/>
  <c r="G65" i="45"/>
  <c r="E65" i="45"/>
  <c r="C65" i="45"/>
  <c r="B65" i="45"/>
  <c r="G63" i="45"/>
  <c r="E63" i="45"/>
  <c r="C63" i="45"/>
  <c r="B63" i="45"/>
  <c r="I62" i="45"/>
  <c r="G61" i="45"/>
  <c r="E61" i="45"/>
  <c r="C61" i="45"/>
  <c r="B61" i="45"/>
  <c r="G59" i="45"/>
  <c r="E59" i="45"/>
  <c r="C59" i="45"/>
  <c r="B59" i="45"/>
  <c r="G57" i="45"/>
  <c r="E57" i="45"/>
  <c r="I58" i="45" s="1"/>
  <c r="M60" i="45" s="1"/>
  <c r="C57" i="45"/>
  <c r="B57" i="45"/>
  <c r="G55" i="45"/>
  <c r="E55" i="45"/>
  <c r="I54" i="45" s="1"/>
  <c r="M52" i="45" s="1"/>
  <c r="P48" i="45" s="1"/>
  <c r="C55" i="45"/>
  <c r="B55" i="45"/>
  <c r="G53" i="45"/>
  <c r="E53" i="45"/>
  <c r="C53" i="45"/>
  <c r="B53" i="45"/>
  <c r="G51" i="45"/>
  <c r="E51" i="45"/>
  <c r="C51" i="45"/>
  <c r="B51" i="45"/>
  <c r="I50" i="45"/>
  <c r="G49" i="45"/>
  <c r="E49" i="45"/>
  <c r="C49" i="45"/>
  <c r="B49" i="45"/>
  <c r="G47" i="45"/>
  <c r="E47" i="45"/>
  <c r="I46" i="45" s="1"/>
  <c r="C47" i="45"/>
  <c r="B47" i="45"/>
  <c r="G45" i="45"/>
  <c r="E45" i="45"/>
  <c r="C45" i="45"/>
  <c r="B45" i="45"/>
  <c r="G43" i="45"/>
  <c r="E43" i="45"/>
  <c r="C43" i="45"/>
  <c r="B43" i="45"/>
  <c r="I42" i="45"/>
  <c r="M44" i="45" s="1"/>
  <c r="G41" i="45"/>
  <c r="E41" i="45"/>
  <c r="C41" i="45"/>
  <c r="B41" i="45"/>
  <c r="G39" i="45"/>
  <c r="E39" i="45"/>
  <c r="C39" i="45"/>
  <c r="B39" i="45"/>
  <c r="I38" i="45"/>
  <c r="M36" i="45" s="1"/>
  <c r="P32" i="45" s="1"/>
  <c r="G37" i="45"/>
  <c r="E37" i="45"/>
  <c r="C37" i="45"/>
  <c r="B37" i="45"/>
  <c r="G35" i="45"/>
  <c r="E35" i="45"/>
  <c r="I34" i="45" s="1"/>
  <c r="C35" i="45"/>
  <c r="B35" i="45"/>
  <c r="G33" i="45"/>
  <c r="E33" i="45"/>
  <c r="C33" i="45"/>
  <c r="B33" i="45"/>
  <c r="G31" i="45"/>
  <c r="E31" i="45"/>
  <c r="C31" i="45"/>
  <c r="B31" i="45"/>
  <c r="G29" i="45"/>
  <c r="E29" i="45"/>
  <c r="I30" i="45" s="1"/>
  <c r="C29" i="45"/>
  <c r="B29" i="45"/>
  <c r="G27" i="45"/>
  <c r="E27" i="45"/>
  <c r="C27" i="45"/>
  <c r="B27" i="45"/>
  <c r="I26" i="45"/>
  <c r="M28" i="45" s="1"/>
  <c r="G25" i="45"/>
  <c r="E25" i="45"/>
  <c r="C25" i="45"/>
  <c r="B25" i="45"/>
  <c r="G23" i="45"/>
  <c r="E23" i="45"/>
  <c r="C23" i="45"/>
  <c r="B23" i="45"/>
  <c r="I22" i="45"/>
  <c r="M20" i="45" s="1"/>
  <c r="G21" i="45"/>
  <c r="E21" i="45"/>
  <c r="C21" i="45"/>
  <c r="B21" i="45"/>
  <c r="G19" i="45"/>
  <c r="E19" i="45"/>
  <c r="C19" i="45"/>
  <c r="B19" i="45"/>
  <c r="G17" i="45"/>
  <c r="E17" i="45"/>
  <c r="I18" i="45" s="1"/>
  <c r="C17" i="45"/>
  <c r="B17" i="45"/>
  <c r="G15" i="45"/>
  <c r="E15" i="45"/>
  <c r="C15" i="45"/>
  <c r="B15" i="45"/>
  <c r="I14" i="45"/>
  <c r="G13" i="45"/>
  <c r="E13" i="45"/>
  <c r="C13" i="45"/>
  <c r="B13" i="45"/>
  <c r="G11" i="45"/>
  <c r="E11" i="45"/>
  <c r="C11" i="45"/>
  <c r="B11" i="45"/>
  <c r="G9" i="45"/>
  <c r="E9" i="45"/>
  <c r="I10" i="45" s="1"/>
  <c r="M12" i="45" s="1"/>
  <c r="P16" i="45" s="1"/>
  <c r="R24" i="45" s="1"/>
  <c r="R40" i="45" s="1"/>
  <c r="C9" i="45"/>
  <c r="B9" i="45"/>
  <c r="C80" i="45"/>
  <c r="R5" i="45"/>
  <c r="M5" i="45"/>
  <c r="I5" i="45"/>
  <c r="E5" i="45"/>
  <c r="A5" i="45"/>
  <c r="R4" i="45"/>
  <c r="P4" i="45"/>
  <c r="M4" i="45"/>
  <c r="I4" i="45"/>
  <c r="E4" i="45"/>
  <c r="A4" i="45"/>
  <c r="U2" i="45"/>
  <c r="A2" i="45"/>
  <c r="U1" i="45"/>
  <c r="A1" i="45"/>
  <c r="K5" i="9"/>
  <c r="F8" i="9" s="1"/>
  <c r="L5" i="9"/>
  <c r="G233" i="20"/>
  <c r="E233" i="20"/>
  <c r="G232" i="20"/>
  <c r="E232" i="20"/>
  <c r="G231" i="20"/>
  <c r="E231" i="20"/>
  <c r="G230" i="20"/>
  <c r="E230" i="20"/>
  <c r="G229" i="20"/>
  <c r="E229" i="20"/>
  <c r="G228" i="20"/>
  <c r="E228" i="20"/>
  <c r="G227" i="20"/>
  <c r="E227" i="20"/>
  <c r="G226" i="20"/>
  <c r="E226" i="20"/>
  <c r="G176" i="20"/>
  <c r="E176" i="20"/>
  <c r="G175" i="20"/>
  <c r="E175" i="20"/>
  <c r="G174" i="20"/>
  <c r="E174" i="20"/>
  <c r="G173" i="20"/>
  <c r="E173" i="20"/>
  <c r="G172" i="20"/>
  <c r="E172" i="20"/>
  <c r="G171" i="20"/>
  <c r="E171" i="20"/>
  <c r="G170" i="20"/>
  <c r="E170" i="20"/>
  <c r="G169" i="20"/>
  <c r="E169" i="20"/>
  <c r="G119" i="20"/>
  <c r="E119" i="20"/>
  <c r="G118" i="20"/>
  <c r="E118" i="20"/>
  <c r="G117" i="20"/>
  <c r="E117" i="20"/>
  <c r="G116" i="20"/>
  <c r="E116" i="20"/>
  <c r="G115" i="20"/>
  <c r="E115" i="20"/>
  <c r="G114" i="20"/>
  <c r="E114" i="20"/>
  <c r="G113" i="20"/>
  <c r="E113" i="20"/>
  <c r="G112" i="20"/>
  <c r="E112" i="20"/>
  <c r="E55" i="20"/>
  <c r="G55" i="20"/>
  <c r="E56" i="20"/>
  <c r="G56" i="20"/>
  <c r="E57" i="20"/>
  <c r="G57" i="20"/>
  <c r="E58" i="20"/>
  <c r="G58" i="20"/>
  <c r="E59" i="20"/>
  <c r="G59" i="20"/>
  <c r="E60" i="20"/>
  <c r="G60" i="20"/>
  <c r="E61" i="20"/>
  <c r="G61" i="20"/>
  <c r="E62" i="20"/>
  <c r="G62" i="20"/>
  <c r="E221" i="20"/>
  <c r="E219" i="20"/>
  <c r="E217" i="20"/>
  <c r="E215" i="20"/>
  <c r="E210" i="20"/>
  <c r="E208" i="20"/>
  <c r="E206" i="20"/>
  <c r="E204" i="20"/>
  <c r="E199" i="20"/>
  <c r="E197" i="20"/>
  <c r="E195" i="20"/>
  <c r="E193" i="20"/>
  <c r="E188" i="20"/>
  <c r="E186" i="20"/>
  <c r="E184" i="20"/>
  <c r="E182" i="20"/>
  <c r="E164" i="20"/>
  <c r="E162" i="20"/>
  <c r="E160" i="20"/>
  <c r="E158" i="20"/>
  <c r="I157" i="20"/>
  <c r="E153" i="20"/>
  <c r="P146" i="20" s="1"/>
  <c r="E151" i="20"/>
  <c r="E149" i="20"/>
  <c r="E147" i="20"/>
  <c r="I146" i="20" s="1"/>
  <c r="E142" i="20"/>
  <c r="E140" i="20"/>
  <c r="E138" i="20"/>
  <c r="E136" i="20"/>
  <c r="I135" i="20" s="1"/>
  <c r="E131" i="20"/>
  <c r="E129" i="20"/>
  <c r="E127" i="20"/>
  <c r="K124" i="20" s="1"/>
  <c r="E125" i="20"/>
  <c r="I124" i="20" s="1"/>
  <c r="E107" i="20"/>
  <c r="E105" i="20"/>
  <c r="E103" i="20"/>
  <c r="E101" i="20"/>
  <c r="E96" i="20"/>
  <c r="E94" i="20"/>
  <c r="N89" i="20" s="1"/>
  <c r="E92" i="20"/>
  <c r="K89" i="20" s="1"/>
  <c r="E90" i="20"/>
  <c r="E85" i="20"/>
  <c r="E83" i="20"/>
  <c r="N78" i="20" s="1"/>
  <c r="E81" i="20"/>
  <c r="K78" i="20" s="1"/>
  <c r="E79" i="20"/>
  <c r="E74" i="20"/>
  <c r="E72" i="20"/>
  <c r="N67" i="20" s="1"/>
  <c r="E70" i="20"/>
  <c r="K67" i="20" s="1"/>
  <c r="E68" i="20"/>
  <c r="E50" i="20"/>
  <c r="E48" i="20"/>
  <c r="N43" i="20" s="1"/>
  <c r="E46" i="20"/>
  <c r="K43" i="20" s="1"/>
  <c r="E44" i="20"/>
  <c r="E39" i="20"/>
  <c r="E37" i="20"/>
  <c r="N32" i="20" s="1"/>
  <c r="E35" i="20"/>
  <c r="K32" i="20" s="1"/>
  <c r="E33" i="20"/>
  <c r="E28" i="20"/>
  <c r="E26" i="20"/>
  <c r="N21" i="20" s="1"/>
  <c r="E24" i="20"/>
  <c r="E22" i="20"/>
  <c r="E17" i="20"/>
  <c r="E15" i="20"/>
  <c r="N10" i="20" s="1"/>
  <c r="E13" i="20"/>
  <c r="E11" i="20"/>
  <c r="J11" i="9"/>
  <c r="L11" i="9"/>
  <c r="J12" i="9"/>
  <c r="L12" i="9" s="1"/>
  <c r="J13" i="9"/>
  <c r="L13" i="9"/>
  <c r="J14" i="9"/>
  <c r="L14" i="9" s="1"/>
  <c r="J15" i="9"/>
  <c r="L15" i="9"/>
  <c r="J16" i="9"/>
  <c r="L16" i="9" s="1"/>
  <c r="J17" i="9"/>
  <c r="L17" i="9"/>
  <c r="J18" i="9"/>
  <c r="L18" i="9" s="1"/>
  <c r="N15" i="9"/>
  <c r="D1" i="41"/>
  <c r="C10" i="4"/>
  <c r="A2" i="29" s="1"/>
  <c r="D57" i="41"/>
  <c r="D58" i="41"/>
  <c r="D59" i="41"/>
  <c r="F5" i="41"/>
  <c r="F6" i="41"/>
  <c r="F7" i="41"/>
  <c r="F8" i="41"/>
  <c r="F9" i="41"/>
  <c r="A1" i="41"/>
  <c r="J19" i="9"/>
  <c r="L19" i="9" s="1"/>
  <c r="J20" i="9"/>
  <c r="L20" i="9"/>
  <c r="J21" i="9"/>
  <c r="L21" i="9" s="1"/>
  <c r="J22" i="9"/>
  <c r="L22" i="9"/>
  <c r="J23" i="9"/>
  <c r="N23" i="9" s="1"/>
  <c r="J24" i="9"/>
  <c r="L24" i="9"/>
  <c r="J25" i="9"/>
  <c r="L25" i="9" s="1"/>
  <c r="J26" i="9"/>
  <c r="L26" i="9"/>
  <c r="J27" i="9"/>
  <c r="L27" i="9" s="1"/>
  <c r="J28" i="9"/>
  <c r="L28" i="9"/>
  <c r="J29" i="9"/>
  <c r="L29" i="9" s="1"/>
  <c r="J30" i="9"/>
  <c r="L30" i="9"/>
  <c r="J31" i="9"/>
  <c r="M31" i="9" s="1"/>
  <c r="J32" i="9"/>
  <c r="L32" i="9"/>
  <c r="J33" i="9"/>
  <c r="N33" i="9" s="1"/>
  <c r="J34" i="9"/>
  <c r="L34" i="9"/>
  <c r="J35" i="9"/>
  <c r="L35" i="9" s="1"/>
  <c r="J36" i="9"/>
  <c r="L36" i="9"/>
  <c r="J37" i="9"/>
  <c r="L37" i="9" s="1"/>
  <c r="J38" i="9"/>
  <c r="L38" i="9"/>
  <c r="J39" i="9"/>
  <c r="L39" i="9" s="1"/>
  <c r="J40" i="9"/>
  <c r="L40" i="9"/>
  <c r="J41" i="9"/>
  <c r="L41" i="9" s="1"/>
  <c r="J42" i="9"/>
  <c r="L42" i="9"/>
  <c r="J43" i="9"/>
  <c r="L43" i="9" s="1"/>
  <c r="J44" i="9"/>
  <c r="L44" i="9"/>
  <c r="J45" i="9"/>
  <c r="L45" i="9" s="1"/>
  <c r="J46" i="9"/>
  <c r="L46" i="9"/>
  <c r="J47" i="9"/>
  <c r="L47" i="9" s="1"/>
  <c r="J48" i="9"/>
  <c r="L48" i="9"/>
  <c r="J49" i="9"/>
  <c r="L49" i="9" s="1"/>
  <c r="M39" i="9"/>
  <c r="N41" i="9"/>
  <c r="A1" i="29"/>
  <c r="G39" i="5"/>
  <c r="C15" i="21"/>
  <c r="E13" i="25" s="1"/>
  <c r="D15" i="21"/>
  <c r="E15" i="21"/>
  <c r="H15" i="21"/>
  <c r="E14" i="25" s="1"/>
  <c r="I15" i="21"/>
  <c r="T15" i="21" s="1"/>
  <c r="J15" i="21"/>
  <c r="I11" i="21"/>
  <c r="D11" i="21"/>
  <c r="E26" i="25"/>
  <c r="I28" i="25" s="1"/>
  <c r="E18" i="25"/>
  <c r="L21" i="21"/>
  <c r="Q21" i="21" s="1"/>
  <c r="C24" i="21"/>
  <c r="D24" i="21"/>
  <c r="C18" i="21"/>
  <c r="E17" i="25" s="1"/>
  <c r="D18" i="21"/>
  <c r="R18" i="21" s="1"/>
  <c r="E11" i="21"/>
  <c r="E24" i="21"/>
  <c r="E18" i="21"/>
  <c r="I24" i="21"/>
  <c r="R24" i="21" s="1"/>
  <c r="H18" i="21"/>
  <c r="I18" i="21"/>
  <c r="J11" i="21"/>
  <c r="J24" i="21"/>
  <c r="J18" i="21"/>
  <c r="H26" i="21"/>
  <c r="I26" i="21"/>
  <c r="H22" i="21"/>
  <c r="I22" i="21"/>
  <c r="H12" i="21"/>
  <c r="I12" i="21"/>
  <c r="H16" i="21"/>
  <c r="S16" i="21" s="1"/>
  <c r="I16" i="21"/>
  <c r="H25" i="21"/>
  <c r="I25" i="21"/>
  <c r="J26" i="21"/>
  <c r="J22" i="21"/>
  <c r="J12" i="21"/>
  <c r="J16" i="21"/>
  <c r="J25" i="21"/>
  <c r="C16" i="21"/>
  <c r="E29" i="25" s="1"/>
  <c r="D16" i="21"/>
  <c r="C23" i="21"/>
  <c r="D23" i="21"/>
  <c r="R23" i="21" s="1"/>
  <c r="C21" i="21"/>
  <c r="D21" i="21"/>
  <c r="C14" i="21"/>
  <c r="E25" i="25" s="1"/>
  <c r="I27" i="25" s="1"/>
  <c r="D14" i="21"/>
  <c r="R14" i="21" s="1"/>
  <c r="E16" i="21"/>
  <c r="E23" i="21"/>
  <c r="E21" i="21"/>
  <c r="E14" i="21"/>
  <c r="G25" i="25" s="1"/>
  <c r="H23" i="21"/>
  <c r="I23" i="21"/>
  <c r="H21" i="21"/>
  <c r="I21" i="21"/>
  <c r="H14" i="21"/>
  <c r="I14" i="21"/>
  <c r="J23" i="21"/>
  <c r="J21" i="21"/>
  <c r="J14" i="21"/>
  <c r="C17" i="21"/>
  <c r="D17" i="21"/>
  <c r="E33" i="25" s="1"/>
  <c r="C13" i="21"/>
  <c r="E21" i="25" s="1"/>
  <c r="I19" i="25" s="1"/>
  <c r="D13" i="21"/>
  <c r="E17" i="21"/>
  <c r="E13" i="21"/>
  <c r="H17" i="21"/>
  <c r="S17" i="21" s="1"/>
  <c r="I17" i="21"/>
  <c r="H13" i="21"/>
  <c r="E22" i="25" s="1"/>
  <c r="I20" i="25" s="1"/>
  <c r="I13" i="21"/>
  <c r="J17" i="21"/>
  <c r="J13" i="21"/>
  <c r="G22" i="25" s="1"/>
  <c r="C12" i="21"/>
  <c r="D12" i="21"/>
  <c r="E12" i="21"/>
  <c r="G37" i="25" s="1"/>
  <c r="F15" i="5"/>
  <c r="U17" i="5"/>
  <c r="U16" i="5"/>
  <c r="U15" i="5"/>
  <c r="U15" i="25" s="1"/>
  <c r="U14" i="5"/>
  <c r="U14" i="25" s="1"/>
  <c r="U13" i="5"/>
  <c r="U12" i="5"/>
  <c r="U11" i="5"/>
  <c r="U11" i="25" s="1"/>
  <c r="U10" i="5"/>
  <c r="U9" i="5"/>
  <c r="U8" i="5"/>
  <c r="U7" i="5"/>
  <c r="U7" i="25" s="1"/>
  <c r="U6" i="5"/>
  <c r="U6" i="25" s="1"/>
  <c r="U5" i="5"/>
  <c r="U4" i="5"/>
  <c r="U3" i="5"/>
  <c r="U3" i="25" s="1"/>
  <c r="U16" i="25"/>
  <c r="U12" i="25"/>
  <c r="U10" i="25"/>
  <c r="U8" i="25"/>
  <c r="U4" i="25"/>
  <c r="U2" i="25"/>
  <c r="U1" i="25"/>
  <c r="U17" i="20"/>
  <c r="U16" i="20"/>
  <c r="U15" i="20"/>
  <c r="U14" i="20"/>
  <c r="U13" i="20"/>
  <c r="U12" i="20"/>
  <c r="U11" i="20"/>
  <c r="U10" i="20"/>
  <c r="U9" i="20"/>
  <c r="U8" i="20"/>
  <c r="U7" i="20"/>
  <c r="U6" i="20"/>
  <c r="U5" i="20"/>
  <c r="U4" i="20"/>
  <c r="U3" i="20"/>
  <c r="U2" i="20"/>
  <c r="U1" i="20"/>
  <c r="F114" i="5"/>
  <c r="C70" i="5"/>
  <c r="F68" i="5"/>
  <c r="C68" i="5"/>
  <c r="F66" i="5"/>
  <c r="C66" i="5"/>
  <c r="C15" i="5"/>
  <c r="F17" i="5"/>
  <c r="A2" i="5"/>
  <c r="A9" i="5"/>
  <c r="C8" i="5"/>
  <c r="A8" i="5"/>
  <c r="E7" i="5"/>
  <c r="C7" i="5"/>
  <c r="A7" i="5"/>
  <c r="H7" i="5"/>
  <c r="E6" i="5"/>
  <c r="C6" i="5"/>
  <c r="A6" i="5"/>
  <c r="H6" i="5"/>
  <c r="A1" i="5"/>
  <c r="F21" i="21"/>
  <c r="K21" i="21"/>
  <c r="N21" i="21"/>
  <c r="F11" i="21"/>
  <c r="K11" i="21"/>
  <c r="C12" i="29"/>
  <c r="D12" i="29"/>
  <c r="E12" i="29"/>
  <c r="C13" i="29"/>
  <c r="D13" i="29"/>
  <c r="E13" i="29"/>
  <c r="C14" i="29"/>
  <c r="D14" i="29"/>
  <c r="E14" i="29"/>
  <c r="C15" i="29"/>
  <c r="D15" i="29"/>
  <c r="E15" i="29"/>
  <c r="C16" i="29"/>
  <c r="D16" i="29"/>
  <c r="E16" i="29"/>
  <c r="C17" i="29"/>
  <c r="D17" i="29"/>
  <c r="E17" i="29"/>
  <c r="C18" i="29"/>
  <c r="D18" i="29"/>
  <c r="E18" i="29"/>
  <c r="C19" i="29"/>
  <c r="D19" i="29"/>
  <c r="E19" i="29"/>
  <c r="C20" i="29"/>
  <c r="D20" i="29"/>
  <c r="E20" i="29"/>
  <c r="C21" i="29"/>
  <c r="D21" i="29"/>
  <c r="E21" i="29"/>
  <c r="C22" i="29"/>
  <c r="D22" i="29"/>
  <c r="E22" i="29"/>
  <c r="C23" i="29"/>
  <c r="D23" i="29"/>
  <c r="E23" i="29"/>
  <c r="C24" i="29"/>
  <c r="D24" i="29"/>
  <c r="E24" i="29"/>
  <c r="C25" i="29"/>
  <c r="D25" i="29"/>
  <c r="E25" i="29"/>
  <c r="C26" i="29"/>
  <c r="D26" i="29"/>
  <c r="E26" i="29"/>
  <c r="C27" i="29"/>
  <c r="D27" i="29"/>
  <c r="E27" i="29"/>
  <c r="C28" i="29"/>
  <c r="D28" i="29"/>
  <c r="E28" i="29"/>
  <c r="C29" i="29"/>
  <c r="D29" i="29"/>
  <c r="E29" i="29"/>
  <c r="C30" i="29"/>
  <c r="D30" i="29"/>
  <c r="E30" i="29"/>
  <c r="C31" i="29"/>
  <c r="D31" i="29"/>
  <c r="E31" i="29"/>
  <c r="C32" i="29"/>
  <c r="D32" i="29"/>
  <c r="E32" i="29"/>
  <c r="C33" i="29"/>
  <c r="D33" i="29"/>
  <c r="E33" i="29"/>
  <c r="C34" i="29"/>
  <c r="D34" i="29"/>
  <c r="E34" i="29"/>
  <c r="C35" i="29"/>
  <c r="D35" i="29"/>
  <c r="E35" i="29"/>
  <c r="C36" i="29"/>
  <c r="D36" i="29"/>
  <c r="E36" i="29"/>
  <c r="C37" i="29"/>
  <c r="D37" i="29"/>
  <c r="E37" i="29"/>
  <c r="C38" i="29"/>
  <c r="D38" i="29"/>
  <c r="E38" i="29"/>
  <c r="C39" i="29"/>
  <c r="D39" i="29"/>
  <c r="E39" i="29"/>
  <c r="C40" i="29"/>
  <c r="D40" i="29"/>
  <c r="E40" i="29"/>
  <c r="H43" i="29"/>
  <c r="D11" i="29"/>
  <c r="E11" i="29"/>
  <c r="C11" i="29"/>
  <c r="J5" i="29"/>
  <c r="A5" i="29"/>
  <c r="D5" i="29"/>
  <c r="F5" i="29"/>
  <c r="J6" i="29"/>
  <c r="A6" i="29"/>
  <c r="D6" i="29"/>
  <c r="F6" i="29"/>
  <c r="A7" i="29"/>
  <c r="D7" i="29"/>
  <c r="A8" i="29"/>
  <c r="F15" i="21"/>
  <c r="F12" i="21"/>
  <c r="N12" i="21" s="1"/>
  <c r="K15" i="21"/>
  <c r="B14" i="25" s="1"/>
  <c r="K12" i="21"/>
  <c r="C25" i="21"/>
  <c r="D25" i="21"/>
  <c r="F25" i="21"/>
  <c r="F17" i="21"/>
  <c r="F13" i="21"/>
  <c r="B21" i="25" s="1"/>
  <c r="F16" i="21"/>
  <c r="B29" i="25" s="1"/>
  <c r="E25" i="21"/>
  <c r="K25" i="21"/>
  <c r="K17" i="21"/>
  <c r="B34" i="25" s="1"/>
  <c r="K13" i="21"/>
  <c r="L13" i="21" s="1"/>
  <c r="Q13" i="21" s="1"/>
  <c r="K16" i="21"/>
  <c r="F24" i="21"/>
  <c r="F18" i="21"/>
  <c r="N18" i="21" s="1"/>
  <c r="K24" i="21"/>
  <c r="N24" i="21" s="1"/>
  <c r="K18" i="21"/>
  <c r="C22" i="21"/>
  <c r="D22" i="21"/>
  <c r="C26" i="21"/>
  <c r="D26" i="21"/>
  <c r="A1" i="25"/>
  <c r="A2" i="25"/>
  <c r="A4" i="25"/>
  <c r="E4" i="25"/>
  <c r="I4" i="25"/>
  <c r="M4" i="25"/>
  <c r="P4" i="25"/>
  <c r="R4" i="25"/>
  <c r="A5" i="25"/>
  <c r="E5" i="25"/>
  <c r="I5" i="25"/>
  <c r="M5" i="25"/>
  <c r="R5" i="25"/>
  <c r="C10" i="25"/>
  <c r="B13" i="25"/>
  <c r="G13" i="25"/>
  <c r="C14" i="25"/>
  <c r="G14" i="25"/>
  <c r="B17" i="25"/>
  <c r="G17" i="25"/>
  <c r="B18" i="25"/>
  <c r="C18" i="25"/>
  <c r="G18" i="25"/>
  <c r="G21" i="25"/>
  <c r="B22" i="25"/>
  <c r="C22" i="25"/>
  <c r="F26" i="21"/>
  <c r="F20" i="21"/>
  <c r="C20" i="21"/>
  <c r="D20" i="21"/>
  <c r="E26" i="21"/>
  <c r="E20" i="21"/>
  <c r="K26" i="21"/>
  <c r="K20" i="21"/>
  <c r="B26" i="25"/>
  <c r="C26" i="25"/>
  <c r="H20" i="21"/>
  <c r="S25" i="21"/>
  <c r="I20" i="21"/>
  <c r="J20" i="21"/>
  <c r="G26" i="25"/>
  <c r="F22" i="21"/>
  <c r="L22" i="21" s="1"/>
  <c r="E22" i="21"/>
  <c r="G29" i="25"/>
  <c r="K22" i="21"/>
  <c r="B30" i="25"/>
  <c r="C30" i="25"/>
  <c r="G30" i="25"/>
  <c r="B33" i="25"/>
  <c r="G33" i="25"/>
  <c r="C34" i="25"/>
  <c r="G34" i="25"/>
  <c r="C38" i="25"/>
  <c r="A75" i="25"/>
  <c r="J80" i="25"/>
  <c r="J81" i="25"/>
  <c r="P81" i="25"/>
  <c r="J19" i="21"/>
  <c r="H19" i="21"/>
  <c r="I19" i="21"/>
  <c r="K19" i="21"/>
  <c r="B10" i="25" s="1"/>
  <c r="K23" i="21"/>
  <c r="K14" i="21"/>
  <c r="E19" i="21"/>
  <c r="C19" i="21"/>
  <c r="D19" i="21"/>
  <c r="F19" i="21"/>
  <c r="F23" i="21"/>
  <c r="F14" i="21"/>
  <c r="N14" i="21" s="1"/>
  <c r="N19" i="21"/>
  <c r="N20" i="21"/>
  <c r="L18" i="21"/>
  <c r="L19" i="21"/>
  <c r="L20" i="21"/>
  <c r="A1" i="21"/>
  <c r="A2" i="21"/>
  <c r="O4" i="21"/>
  <c r="A5" i="21"/>
  <c r="D5" i="21"/>
  <c r="F5" i="21"/>
  <c r="O5" i="21"/>
  <c r="A6" i="21"/>
  <c r="D6" i="21"/>
  <c r="F6" i="21"/>
  <c r="A7" i="21"/>
  <c r="D7" i="21"/>
  <c r="A8" i="21"/>
  <c r="J233" i="20"/>
  <c r="J232" i="20"/>
  <c r="J176" i="20"/>
  <c r="J175" i="20"/>
  <c r="J119" i="20"/>
  <c r="J118" i="20"/>
  <c r="J62" i="20"/>
  <c r="J61" i="20"/>
  <c r="J228" i="20"/>
  <c r="J229" i="20"/>
  <c r="J230" i="20"/>
  <c r="J171" i="20"/>
  <c r="J172" i="20"/>
  <c r="J173" i="20"/>
  <c r="J114" i="20"/>
  <c r="J115" i="20"/>
  <c r="J116" i="20"/>
  <c r="K226" i="20"/>
  <c r="K227" i="20"/>
  <c r="K228" i="20"/>
  <c r="K229" i="20"/>
  <c r="K230" i="20"/>
  <c r="K169" i="20"/>
  <c r="K170" i="20"/>
  <c r="K171" i="20"/>
  <c r="K172" i="20"/>
  <c r="K173" i="20"/>
  <c r="K112" i="20"/>
  <c r="K113" i="20"/>
  <c r="K114" i="20"/>
  <c r="K115" i="20"/>
  <c r="K116" i="20"/>
  <c r="O233" i="20"/>
  <c r="C233" i="20"/>
  <c r="B11" i="20"/>
  <c r="C229" i="20" s="1"/>
  <c r="C230" i="20"/>
  <c r="O229" i="20"/>
  <c r="O227" i="20"/>
  <c r="A227" i="20"/>
  <c r="Q225" i="20"/>
  <c r="N221" i="20"/>
  <c r="K221" i="20"/>
  <c r="I221" i="20"/>
  <c r="G221" i="20"/>
  <c r="C221" i="20"/>
  <c r="B221" i="20"/>
  <c r="K219" i="20"/>
  <c r="I219" i="20"/>
  <c r="G219" i="20"/>
  <c r="C219" i="20"/>
  <c r="B219" i="20"/>
  <c r="I217" i="20"/>
  <c r="G217" i="20"/>
  <c r="C217" i="20"/>
  <c r="B217" i="20"/>
  <c r="G215" i="20"/>
  <c r="C215" i="20"/>
  <c r="B215" i="20"/>
  <c r="P214" i="20"/>
  <c r="N214" i="20"/>
  <c r="K214" i="20"/>
  <c r="I214" i="20"/>
  <c r="N210" i="20"/>
  <c r="K210" i="20"/>
  <c r="I210" i="20"/>
  <c r="G210" i="20"/>
  <c r="C210" i="20"/>
  <c r="B210" i="20"/>
  <c r="K208" i="20"/>
  <c r="I208" i="20"/>
  <c r="G208" i="20"/>
  <c r="C208" i="20"/>
  <c r="B208" i="20"/>
  <c r="I206" i="20"/>
  <c r="G206" i="20"/>
  <c r="C206" i="20"/>
  <c r="B206" i="20"/>
  <c r="G204" i="20"/>
  <c r="C204" i="20"/>
  <c r="B204" i="20"/>
  <c r="P203" i="20"/>
  <c r="N203" i="20"/>
  <c r="K203" i="20"/>
  <c r="I203" i="20"/>
  <c r="N199" i="20"/>
  <c r="K199" i="20"/>
  <c r="I199" i="20"/>
  <c r="G199" i="20"/>
  <c r="C199" i="20"/>
  <c r="B199" i="20"/>
  <c r="K197" i="20"/>
  <c r="I197" i="20"/>
  <c r="G197" i="20"/>
  <c r="C197" i="20"/>
  <c r="B197" i="20"/>
  <c r="I195" i="20"/>
  <c r="G195" i="20"/>
  <c r="C195" i="20"/>
  <c r="B195" i="20"/>
  <c r="G193" i="20"/>
  <c r="C193" i="20"/>
  <c r="B193" i="20"/>
  <c r="P192" i="20"/>
  <c r="N192" i="20"/>
  <c r="K192" i="20"/>
  <c r="I192" i="20"/>
  <c r="N188" i="20"/>
  <c r="K188" i="20"/>
  <c r="I188" i="20"/>
  <c r="G188" i="20"/>
  <c r="C188" i="20"/>
  <c r="B188" i="20"/>
  <c r="K186" i="20"/>
  <c r="I186" i="20"/>
  <c r="G186" i="20"/>
  <c r="C186" i="20"/>
  <c r="B186" i="20"/>
  <c r="I184" i="20"/>
  <c r="G184" i="20"/>
  <c r="C184" i="20"/>
  <c r="B184" i="20"/>
  <c r="G182" i="20"/>
  <c r="C182" i="20"/>
  <c r="B182" i="20"/>
  <c r="P181" i="20"/>
  <c r="N181" i="20"/>
  <c r="K181" i="20"/>
  <c r="I181" i="20"/>
  <c r="O176" i="20"/>
  <c r="C176" i="20"/>
  <c r="C173" i="20"/>
  <c r="O172" i="20"/>
  <c r="O170" i="20"/>
  <c r="A170" i="20"/>
  <c r="Q168" i="20"/>
  <c r="N164" i="20"/>
  <c r="K164" i="20"/>
  <c r="I164" i="20"/>
  <c r="G164" i="20"/>
  <c r="C164" i="20"/>
  <c r="B164" i="20"/>
  <c r="K162" i="20"/>
  <c r="I162" i="20"/>
  <c r="G162" i="20"/>
  <c r="C162" i="20"/>
  <c r="B162" i="20"/>
  <c r="I160" i="20"/>
  <c r="G160" i="20"/>
  <c r="C160" i="20"/>
  <c r="B160" i="20"/>
  <c r="G158" i="20"/>
  <c r="C158" i="20"/>
  <c r="B158" i="20"/>
  <c r="P157" i="20"/>
  <c r="N157" i="20"/>
  <c r="K157" i="20"/>
  <c r="N153" i="20"/>
  <c r="K153" i="20"/>
  <c r="I153" i="20"/>
  <c r="G153" i="20"/>
  <c r="C153" i="20"/>
  <c r="B153" i="20"/>
  <c r="K151" i="20"/>
  <c r="I151" i="20"/>
  <c r="G151" i="20"/>
  <c r="C151" i="20"/>
  <c r="B151" i="20"/>
  <c r="I149" i="20"/>
  <c r="G149" i="20"/>
  <c r="C149" i="20"/>
  <c r="B149" i="20"/>
  <c r="G147" i="20"/>
  <c r="C147" i="20"/>
  <c r="B147" i="20"/>
  <c r="N146" i="20"/>
  <c r="K146" i="20"/>
  <c r="N142" i="20"/>
  <c r="K142" i="20"/>
  <c r="I142" i="20"/>
  <c r="G142" i="20"/>
  <c r="C142" i="20"/>
  <c r="B142" i="20"/>
  <c r="I140" i="20"/>
  <c r="G140" i="20"/>
  <c r="C140" i="20"/>
  <c r="B140" i="20"/>
  <c r="I138" i="20"/>
  <c r="G138" i="20"/>
  <c r="C138" i="20"/>
  <c r="B138" i="20"/>
  <c r="G136" i="20"/>
  <c r="C136" i="20"/>
  <c r="B136" i="20"/>
  <c r="P135" i="20"/>
  <c r="N135" i="20"/>
  <c r="K135" i="20"/>
  <c r="N131" i="20"/>
  <c r="K131" i="20"/>
  <c r="I131" i="20"/>
  <c r="G131" i="20"/>
  <c r="C131" i="20"/>
  <c r="B131" i="20"/>
  <c r="K129" i="20"/>
  <c r="I129" i="20"/>
  <c r="G129" i="20"/>
  <c r="C129" i="20"/>
  <c r="B129" i="20"/>
  <c r="I127" i="20"/>
  <c r="G127" i="20"/>
  <c r="C127" i="20"/>
  <c r="B127" i="20"/>
  <c r="G125" i="20"/>
  <c r="C125" i="20"/>
  <c r="B125" i="20"/>
  <c r="P124" i="20"/>
  <c r="N124" i="20"/>
  <c r="Q111" i="20"/>
  <c r="O115" i="20"/>
  <c r="O113" i="20"/>
  <c r="C119" i="20"/>
  <c r="C116" i="20"/>
  <c r="O119" i="20"/>
  <c r="A113" i="20"/>
  <c r="N107" i="20"/>
  <c r="K107" i="20"/>
  <c r="I107" i="20"/>
  <c r="G107" i="20"/>
  <c r="C107" i="20"/>
  <c r="B107" i="20"/>
  <c r="K105" i="20"/>
  <c r="I105" i="20"/>
  <c r="G105" i="20"/>
  <c r="C105" i="20"/>
  <c r="B105" i="20"/>
  <c r="I103" i="20"/>
  <c r="G103" i="20"/>
  <c r="C103" i="20"/>
  <c r="B103" i="20"/>
  <c r="G101" i="20"/>
  <c r="C101" i="20"/>
  <c r="B101" i="20"/>
  <c r="P100" i="20"/>
  <c r="N100" i="20"/>
  <c r="K100" i="20"/>
  <c r="I100" i="20"/>
  <c r="N96" i="20"/>
  <c r="K96" i="20"/>
  <c r="I96" i="20"/>
  <c r="G96" i="20"/>
  <c r="C96" i="20"/>
  <c r="B96" i="20"/>
  <c r="K94" i="20"/>
  <c r="I94" i="20"/>
  <c r="G94" i="20"/>
  <c r="C94" i="20"/>
  <c r="B94" i="20"/>
  <c r="I92" i="20"/>
  <c r="G92" i="20"/>
  <c r="C92" i="20"/>
  <c r="B92" i="20"/>
  <c r="G90" i="20"/>
  <c r="C90" i="20"/>
  <c r="B90" i="20"/>
  <c r="P89" i="20"/>
  <c r="I89" i="20"/>
  <c r="K85" i="20"/>
  <c r="I85" i="20"/>
  <c r="G85" i="20"/>
  <c r="C85" i="20"/>
  <c r="B85" i="20"/>
  <c r="K83" i="20"/>
  <c r="I83" i="20"/>
  <c r="G83" i="20"/>
  <c r="C83" i="20"/>
  <c r="B83" i="20"/>
  <c r="I81" i="20"/>
  <c r="G81" i="20"/>
  <c r="C81" i="20"/>
  <c r="B81" i="20"/>
  <c r="G79" i="20"/>
  <c r="C79" i="20"/>
  <c r="B79" i="20"/>
  <c r="P78" i="20"/>
  <c r="I78" i="20"/>
  <c r="K74" i="20"/>
  <c r="I74" i="20"/>
  <c r="G74" i="20"/>
  <c r="C74" i="20"/>
  <c r="B74" i="20"/>
  <c r="K72" i="20"/>
  <c r="I72" i="20"/>
  <c r="G72" i="20"/>
  <c r="C72" i="20"/>
  <c r="B72" i="20"/>
  <c r="I70" i="20"/>
  <c r="G70" i="20"/>
  <c r="C70" i="20"/>
  <c r="B70" i="20"/>
  <c r="G68" i="20"/>
  <c r="C68" i="20"/>
  <c r="B68" i="20"/>
  <c r="P67" i="20"/>
  <c r="I67" i="20"/>
  <c r="N50" i="20"/>
  <c r="K50" i="20"/>
  <c r="I50" i="20"/>
  <c r="G50" i="20"/>
  <c r="C50" i="20"/>
  <c r="B50" i="20"/>
  <c r="K48" i="20"/>
  <c r="I48" i="20"/>
  <c r="G48" i="20"/>
  <c r="C48" i="20"/>
  <c r="B48" i="20"/>
  <c r="I46" i="20"/>
  <c r="G46" i="20"/>
  <c r="C46" i="20"/>
  <c r="B46" i="20"/>
  <c r="G44" i="20"/>
  <c r="C44" i="20"/>
  <c r="B44" i="20"/>
  <c r="P43" i="20"/>
  <c r="I43" i="20"/>
  <c r="N39" i="20"/>
  <c r="I39" i="20"/>
  <c r="G39" i="20"/>
  <c r="C39" i="20"/>
  <c r="B39" i="20"/>
  <c r="K37" i="20"/>
  <c r="I37" i="20"/>
  <c r="G37" i="20"/>
  <c r="C37" i="20"/>
  <c r="B37" i="20"/>
  <c r="I35" i="20"/>
  <c r="G35" i="20"/>
  <c r="C35" i="20"/>
  <c r="B35" i="20"/>
  <c r="G33" i="20"/>
  <c r="C33" i="20"/>
  <c r="B33" i="20"/>
  <c r="P32" i="20"/>
  <c r="I32" i="20"/>
  <c r="N28" i="20"/>
  <c r="K28" i="20"/>
  <c r="I28" i="20"/>
  <c r="G28" i="20"/>
  <c r="C28" i="20"/>
  <c r="B28" i="20"/>
  <c r="K26" i="20"/>
  <c r="I26" i="20"/>
  <c r="G26" i="20"/>
  <c r="C26" i="20"/>
  <c r="B26" i="20"/>
  <c r="I24" i="20"/>
  <c r="G24" i="20"/>
  <c r="C24" i="20"/>
  <c r="B24" i="20"/>
  <c r="G22" i="20"/>
  <c r="C22" i="20"/>
  <c r="B22" i="20"/>
  <c r="P21" i="20"/>
  <c r="K21" i="20"/>
  <c r="I21" i="20"/>
  <c r="N17" i="20"/>
  <c r="K15" i="20"/>
  <c r="I17" i="20"/>
  <c r="I15" i="20"/>
  <c r="I13" i="20"/>
  <c r="P10" i="20"/>
  <c r="K10" i="20"/>
  <c r="I10" i="20"/>
  <c r="A1" i="20"/>
  <c r="A2" i="20"/>
  <c r="A4" i="20"/>
  <c r="E4" i="20"/>
  <c r="I4" i="20"/>
  <c r="M4" i="20"/>
  <c r="R4" i="20"/>
  <c r="A5" i="20"/>
  <c r="E5" i="20"/>
  <c r="I5" i="20"/>
  <c r="M5" i="20"/>
  <c r="R5" i="20"/>
  <c r="C11" i="20"/>
  <c r="G11" i="20"/>
  <c r="B13" i="20"/>
  <c r="C13" i="20"/>
  <c r="G13" i="20"/>
  <c r="B15" i="20"/>
  <c r="C15" i="20"/>
  <c r="G15" i="20"/>
  <c r="B17" i="20"/>
  <c r="C17" i="20"/>
  <c r="G17" i="20"/>
  <c r="A56" i="20"/>
  <c r="O62" i="20"/>
  <c r="K13" i="16"/>
  <c r="K14" i="16"/>
  <c r="K15" i="16"/>
  <c r="K16" i="16"/>
  <c r="K17" i="16"/>
  <c r="K18" i="16"/>
  <c r="K19" i="16"/>
  <c r="K20" i="16"/>
  <c r="K21" i="16"/>
  <c r="K22" i="16"/>
  <c r="K23" i="16"/>
  <c r="K24" i="16"/>
  <c r="K25" i="16"/>
  <c r="K26" i="16"/>
  <c r="K27" i="16"/>
  <c r="K28" i="16"/>
  <c r="K29" i="16"/>
  <c r="K30" i="16"/>
  <c r="K31" i="16"/>
  <c r="K32" i="16"/>
  <c r="K33" i="16"/>
  <c r="K34" i="16"/>
  <c r="K35" i="16"/>
  <c r="K36" i="16"/>
  <c r="K37" i="16"/>
  <c r="K38" i="16"/>
  <c r="K39" i="16"/>
  <c r="K40" i="16"/>
  <c r="K41" i="16"/>
  <c r="K42" i="16"/>
  <c r="K43" i="16"/>
  <c r="K44" i="16"/>
  <c r="K45" i="16"/>
  <c r="K46" i="16"/>
  <c r="K47" i="16"/>
  <c r="K48" i="16"/>
  <c r="K49" i="16"/>
  <c r="K50" i="16"/>
  <c r="K51" i="16"/>
  <c r="K52" i="16"/>
  <c r="K53" i="16"/>
  <c r="K54" i="16"/>
  <c r="K55" i="16"/>
  <c r="K56" i="16"/>
  <c r="K57" i="16"/>
  <c r="K58" i="16"/>
  <c r="K59" i="16"/>
  <c r="K60" i="16"/>
  <c r="K61" i="16"/>
  <c r="K62" i="16"/>
  <c r="K63" i="16"/>
  <c r="K64" i="16"/>
  <c r="K65" i="16"/>
  <c r="K66" i="16"/>
  <c r="K67" i="16"/>
  <c r="K68" i="16"/>
  <c r="K69" i="16"/>
  <c r="K70" i="16"/>
  <c r="K71" i="16"/>
  <c r="K72" i="16"/>
  <c r="K73" i="16"/>
  <c r="K74" i="16"/>
  <c r="K75" i="16"/>
  <c r="K76" i="16"/>
  <c r="K77" i="16"/>
  <c r="K78" i="16"/>
  <c r="K79" i="16"/>
  <c r="K80" i="16"/>
  <c r="K81" i="16"/>
  <c r="K82" i="16"/>
  <c r="K83" i="16"/>
  <c r="K84" i="16"/>
  <c r="K85" i="16"/>
  <c r="K86" i="16"/>
  <c r="K87" i="16"/>
  <c r="K88" i="16"/>
  <c r="K89" i="16"/>
  <c r="K90" i="16"/>
  <c r="K91" i="16"/>
  <c r="K92" i="16"/>
  <c r="K93" i="16"/>
  <c r="K94" i="16"/>
  <c r="K95" i="16"/>
  <c r="K96" i="16"/>
  <c r="K97" i="16"/>
  <c r="K98" i="16"/>
  <c r="K99" i="16"/>
  <c r="K100" i="16"/>
  <c r="K101" i="16"/>
  <c r="K102" i="16"/>
  <c r="K103" i="16"/>
  <c r="K104" i="16"/>
  <c r="K105" i="16"/>
  <c r="K106" i="16"/>
  <c r="K107" i="16"/>
  <c r="K108" i="16"/>
  <c r="K109" i="16"/>
  <c r="K110" i="16"/>
  <c r="K111" i="16"/>
  <c r="K112" i="16"/>
  <c r="K113" i="16"/>
  <c r="K114" i="16"/>
  <c r="K115" i="16"/>
  <c r="K116" i="16"/>
  <c r="K117" i="16"/>
  <c r="K118" i="16"/>
  <c r="K119" i="16"/>
  <c r="K120" i="16"/>
  <c r="K121" i="16"/>
  <c r="K122" i="16"/>
  <c r="K123" i="16"/>
  <c r="K124" i="16"/>
  <c r="K125" i="16"/>
  <c r="K126" i="16"/>
  <c r="K127" i="16"/>
  <c r="K128" i="16"/>
  <c r="K129" i="16"/>
  <c r="K130" i="16"/>
  <c r="K131" i="16"/>
  <c r="K132" i="16"/>
  <c r="K133" i="16"/>
  <c r="K134" i="16"/>
  <c r="K135" i="16"/>
  <c r="K136" i="16"/>
  <c r="K137" i="16"/>
  <c r="K138" i="16"/>
  <c r="K12" i="16"/>
  <c r="K11" i="16"/>
  <c r="K13" i="9"/>
  <c r="K14" i="9"/>
  <c r="K15" i="9"/>
  <c r="K16" i="9"/>
  <c r="K17" i="9"/>
  <c r="K18" i="9"/>
  <c r="K19" i="9"/>
  <c r="K20" i="9"/>
  <c r="K21" i="9"/>
  <c r="K22" i="9"/>
  <c r="K23" i="9"/>
  <c r="K24" i="9"/>
  <c r="K25" i="9"/>
  <c r="K26" i="9"/>
  <c r="K27" i="9"/>
  <c r="K28" i="9"/>
  <c r="K29" i="9"/>
  <c r="K30" i="9"/>
  <c r="K31" i="9"/>
  <c r="K32" i="9"/>
  <c r="K33" i="9"/>
  <c r="K34" i="9"/>
  <c r="K35" i="9"/>
  <c r="K36" i="9"/>
  <c r="K37" i="9"/>
  <c r="K38" i="9"/>
  <c r="K39" i="9"/>
  <c r="K40" i="9"/>
  <c r="K41" i="9"/>
  <c r="K42" i="9"/>
  <c r="K43" i="9"/>
  <c r="K44" i="9"/>
  <c r="K45" i="9"/>
  <c r="K46" i="9"/>
  <c r="K47" i="9"/>
  <c r="K48" i="9"/>
  <c r="K49" i="9"/>
  <c r="K50" i="9"/>
  <c r="K12" i="9"/>
  <c r="K11" i="9"/>
  <c r="A1" i="16"/>
  <c r="A2" i="16"/>
  <c r="H4" i="16"/>
  <c r="A5" i="16"/>
  <c r="C5" i="16"/>
  <c r="E5" i="16"/>
  <c r="H5" i="16"/>
  <c r="A6" i="16"/>
  <c r="C6" i="16"/>
  <c r="E6" i="16"/>
  <c r="L9" i="16"/>
  <c r="M9" i="16"/>
  <c r="N9" i="16"/>
  <c r="A7" i="16"/>
  <c r="A8" i="16"/>
  <c r="F8" i="16"/>
  <c r="F8" i="7"/>
  <c r="A8" i="7"/>
  <c r="C7" i="7"/>
  <c r="A7" i="7"/>
  <c r="E6" i="7"/>
  <c r="C6" i="7"/>
  <c r="A6" i="7"/>
  <c r="H5" i="7"/>
  <c r="E5" i="7"/>
  <c r="C5" i="7"/>
  <c r="A5" i="7"/>
  <c r="A2" i="7"/>
  <c r="A1" i="7"/>
  <c r="J50" i="9"/>
  <c r="N50" i="9" s="1"/>
  <c r="L50" i="9"/>
  <c r="A8" i="9"/>
  <c r="C7" i="9"/>
  <c r="A7" i="9"/>
  <c r="E6" i="9"/>
  <c r="C6" i="9"/>
  <c r="A6" i="9"/>
  <c r="H5" i="9"/>
  <c r="E5" i="9"/>
  <c r="C5" i="9"/>
  <c r="A5" i="9"/>
  <c r="H4" i="9"/>
  <c r="A2" i="9"/>
  <c r="A1" i="9"/>
  <c r="H4" i="7"/>
  <c r="M14" i="9"/>
  <c r="M13" i="9"/>
  <c r="N12" i="9"/>
  <c r="C58" i="20"/>
  <c r="R26" i="21"/>
  <c r="M48" i="9"/>
  <c r="N46" i="9"/>
  <c r="N42" i="9"/>
  <c r="N38" i="9"/>
  <c r="N34" i="9"/>
  <c r="N30" i="9"/>
  <c r="N26" i="9"/>
  <c r="N22" i="9"/>
  <c r="M44" i="9"/>
  <c r="M40" i="9"/>
  <c r="M36" i="9"/>
  <c r="M32" i="9"/>
  <c r="M28" i="9"/>
  <c r="M24" i="9"/>
  <c r="M20" i="9"/>
  <c r="N16" i="9"/>
  <c r="M15" i="9"/>
  <c r="T21" i="21"/>
  <c r="T22" i="21"/>
  <c r="S21" i="21"/>
  <c r="T26" i="21"/>
  <c r="T20" i="21"/>
  <c r="T23" i="21"/>
  <c r="G10" i="25"/>
  <c r="C232" i="20"/>
  <c r="U3" i="45"/>
  <c r="U4" i="45"/>
  <c r="U5" i="45"/>
  <c r="U6" i="45"/>
  <c r="U7" i="45"/>
  <c r="U8" i="45"/>
  <c r="U9" i="45"/>
  <c r="U10" i="45"/>
  <c r="U11" i="45"/>
  <c r="U12" i="45"/>
  <c r="U13" i="45"/>
  <c r="U14" i="45"/>
  <c r="U15" i="45"/>
  <c r="U16" i="45"/>
  <c r="U17" i="45"/>
  <c r="S22" i="21"/>
  <c r="S20" i="21"/>
  <c r="E10" i="25"/>
  <c r="I12" i="25" s="1"/>
  <c r="M16" i="25" s="1"/>
  <c r="P23" i="25" s="1"/>
  <c r="E75" i="25"/>
  <c r="E38" i="25"/>
  <c r="E77" i="25" s="1"/>
  <c r="R25" i="21"/>
  <c r="T18" i="21"/>
  <c r="S13" i="21"/>
  <c r="R11" i="21"/>
  <c r="N25" i="21"/>
  <c r="L25" i="21"/>
  <c r="R20" i="21"/>
  <c r="R19" i="21"/>
  <c r="S12" i="21"/>
  <c r="N23" i="21"/>
  <c r="R21" i="21"/>
  <c r="N13" i="21"/>
  <c r="N17" i="21"/>
  <c r="T14" i="21"/>
  <c r="T19" i="21"/>
  <c r="S19" i="21"/>
  <c r="T13" i="21"/>
  <c r="R12" i="21"/>
  <c r="T11" i="21"/>
  <c r="E37" i="25"/>
  <c r="I35" i="25" s="1"/>
  <c r="M31" i="25" s="1"/>
  <c r="T25" i="21"/>
  <c r="B38" i="25"/>
  <c r="T12" i="21"/>
  <c r="S11" i="21"/>
  <c r="N11" i="21"/>
  <c r="B9" i="25"/>
  <c r="G9" i="25"/>
  <c r="G38" i="25"/>
  <c r="L17" i="21"/>
  <c r="L11" i="21"/>
  <c r="Q11" i="21" s="1"/>
  <c r="L23" i="21"/>
  <c r="N26" i="21"/>
  <c r="L26" i="21"/>
  <c r="S24" i="21"/>
  <c r="R22" i="21"/>
  <c r="L15" i="21"/>
  <c r="Q23" i="21" s="1"/>
  <c r="N15" i="21"/>
  <c r="S14" i="21"/>
  <c r="C175" i="20"/>
  <c r="C172" i="20"/>
  <c r="B37" i="25"/>
  <c r="E76" i="25"/>
  <c r="C77" i="45"/>
  <c r="N17" i="9"/>
  <c r="M16" i="9"/>
  <c r="U5" i="25"/>
  <c r="U9" i="25"/>
  <c r="U13" i="25"/>
  <c r="U17" i="25"/>
  <c r="M50" i="9"/>
  <c r="M18" i="9"/>
  <c r="M12" i="9"/>
  <c r="M46" i="9"/>
  <c r="N14" i="9"/>
  <c r="N18" i="9"/>
  <c r="M22" i="9"/>
  <c r="M26" i="9"/>
  <c r="M30" i="9"/>
  <c r="M34" i="9"/>
  <c r="M38" i="9"/>
  <c r="M42" i="9"/>
  <c r="N20" i="9"/>
  <c r="N24" i="9"/>
  <c r="N28" i="9"/>
  <c r="N32" i="9"/>
  <c r="N36" i="9"/>
  <c r="N40" i="9"/>
  <c r="N44" i="9"/>
  <c r="N48" i="9"/>
  <c r="S4" i="45"/>
  <c r="M17" i="9"/>
  <c r="M11" i="9"/>
  <c r="N11" i="9"/>
  <c r="N13" i="9"/>
  <c r="N45" i="9"/>
  <c r="M43" i="9"/>
  <c r="N35" i="9"/>
  <c r="N19" i="9"/>
  <c r="M33" i="9"/>
  <c r="C118" i="20" l="1"/>
  <c r="C61" i="20"/>
  <c r="C115" i="20"/>
  <c r="I11" i="25"/>
  <c r="M15" i="25" s="1"/>
  <c r="P22" i="25" s="1"/>
  <c r="E74" i="25"/>
  <c r="E34" i="25"/>
  <c r="M21" i="9"/>
  <c r="M37" i="9"/>
  <c r="N39" i="9"/>
  <c r="M19" i="9"/>
  <c r="N21" i="9"/>
  <c r="N9" i="9" s="1"/>
  <c r="M49" i="9"/>
  <c r="L24" i="21"/>
  <c r="S18" i="21"/>
  <c r="T17" i="21"/>
  <c r="R16" i="21"/>
  <c r="R17" i="21"/>
  <c r="S23" i="21"/>
  <c r="M25" i="9"/>
  <c r="M41" i="9"/>
  <c r="N27" i="9"/>
  <c r="N43" i="9"/>
  <c r="M27" i="9"/>
  <c r="N29" i="9"/>
  <c r="L16" i="21"/>
  <c r="Q22" i="21"/>
  <c r="T16" i="21"/>
  <c r="R15" i="21"/>
  <c r="S15" i="21"/>
  <c r="L14" i="21"/>
  <c r="Q14" i="21" s="1"/>
  <c r="T24" i="21"/>
  <c r="I36" i="25"/>
  <c r="M32" i="25" s="1"/>
  <c r="E30" i="25"/>
  <c r="N25" i="9"/>
  <c r="M23" i="9"/>
  <c r="M29" i="9"/>
  <c r="M45" i="9"/>
  <c r="N31" i="9"/>
  <c r="N47" i="9"/>
  <c r="M35" i="9"/>
  <c r="N37" i="9"/>
  <c r="N16" i="21"/>
  <c r="R13" i="21"/>
  <c r="N22" i="21"/>
  <c r="L12" i="21"/>
  <c r="Q12" i="21" s="1"/>
  <c r="B25" i="25"/>
  <c r="N49" i="9"/>
  <c r="M47" i="9"/>
  <c r="L33" i="9"/>
  <c r="L31" i="9"/>
  <c r="L23" i="9"/>
  <c r="M8" i="9" s="1"/>
  <c r="S26" i="21"/>
  <c r="Q26" i="21"/>
  <c r="Q24" i="21"/>
  <c r="Q15" i="21"/>
  <c r="Q17" i="21"/>
  <c r="Q16" i="21"/>
  <c r="Q18" i="21"/>
  <c r="Q25" i="21"/>
  <c r="Q19" i="21"/>
  <c r="Q20" i="21"/>
  <c r="C80" i="25"/>
  <c r="C77" i="25"/>
  <c r="M9" i="9" l="1"/>
  <c r="L9" i="9"/>
  <c r="L8" i="9" s="1"/>
  <c r="L7" i="9" s="1"/>
  <c r="M7" i="9" s="1"/>
  <c r="K6" i="9" s="1"/>
  <c r="P5" i="45"/>
  <c r="D8" i="21"/>
  <c r="C9" i="5"/>
  <c r="H17" i="5"/>
  <c r="C8" i="9"/>
  <c r="D8" i="29"/>
  <c r="P5" i="25"/>
  <c r="C8" i="7"/>
</calcChain>
</file>

<file path=xl/comments1.xml><?xml version="1.0" encoding="utf-8"?>
<comments xmlns="http://schemas.openxmlformats.org/spreadsheetml/2006/main">
  <authors>
    <author>Marin</author>
  </authors>
  <commentList>
    <comment ref="C12" authorId="0">
      <text>
        <r>
          <rPr>
            <b/>
            <sz val="8"/>
            <color indexed="81"/>
            <rFont val="Tahoma"/>
            <family val="2"/>
            <charset val="238"/>
          </rPr>
          <t xml:space="preserve">ID turnira je određen od strane HTS-a radi lakšeg snalaženja u dokumentaciji. Ukratko šta znači pojedini dio na primjeru Rxx_20xxmmdd_KA_M
- Rxx - Rezultati, a xx je kategorija, 
          npr. R14 = rezultati do 14
- 20xxmmdd - Datum početka kvalifikacija, 
          npr. 20070127 = 27.01.2007.
- KA - Kratica kluba organizatora, 
          npr. KA = TK Karlovac
- M/Z - Oznaka M=muški, Z=ženski dio turnira ukoliko se kosturi 
          turnira šalju odvojeno
</t>
        </r>
      </text>
    </comment>
    <comment ref="B16" authorId="0">
      <text>
        <r>
          <rPr>
            <b/>
            <sz val="8"/>
            <color indexed="81"/>
            <rFont val="Tahoma"/>
            <family val="2"/>
            <charset val="238"/>
          </rPr>
          <t>Rang će se promijenit nakon što se upišu svi igrači u listu 
"SI GT priprema".
Ako nije dobar promjeni ga sam.</t>
        </r>
      </text>
    </comment>
  </commentList>
</comments>
</file>

<file path=xl/comments2.xml><?xml version="1.0" encoding="utf-8"?>
<comments xmlns="http://schemas.openxmlformats.org/spreadsheetml/2006/main">
  <authors>
    <author>Marin</author>
  </authors>
  <commentList>
    <comment ref="D10" authorId="0">
      <text>
        <r>
          <rPr>
            <b/>
            <sz val="8"/>
            <color indexed="81"/>
            <rFont val="Tahoma"/>
            <family val="2"/>
            <charset val="238"/>
          </rPr>
          <t>Kratica kluba
(do 3 slova)</t>
        </r>
        <r>
          <rPr>
            <sz val="8"/>
            <color indexed="81"/>
            <rFont val="Tahoma"/>
            <family val="2"/>
            <charset val="238"/>
          </rPr>
          <t xml:space="preserve">
</t>
        </r>
      </text>
    </comment>
    <comment ref="E10" authorId="0">
      <text>
        <r>
          <rPr>
            <b/>
            <sz val="8"/>
            <color indexed="81"/>
            <rFont val="Tahoma"/>
            <family val="2"/>
            <charset val="238"/>
          </rPr>
          <t>MR - međunarodni rang
Ako igrač ima MR
 - UPIŠI 0
 - SORTIRAJ po RANG LISTI
 - SORTIRAJ po PREZIMENU
 - UPIŠI MR</t>
        </r>
        <r>
          <rPr>
            <sz val="8"/>
            <color indexed="81"/>
            <rFont val="Tahoma"/>
            <family val="2"/>
            <charset val="238"/>
          </rPr>
          <t xml:space="preserve">
</t>
        </r>
      </text>
    </comment>
  </commentList>
</comments>
</file>

<file path=xl/comments3.xml><?xml version="1.0" encoding="utf-8"?>
<comments xmlns="http://schemas.openxmlformats.org/spreadsheetml/2006/main">
  <authors>
    <author>Marin</author>
  </authors>
  <commentList>
    <comment ref="D10" authorId="0">
      <text>
        <r>
          <rPr>
            <b/>
            <sz val="8"/>
            <color indexed="81"/>
            <rFont val="Tahoma"/>
            <family val="2"/>
            <charset val="238"/>
          </rPr>
          <t>Kratica kluba
(do 3 slova)</t>
        </r>
        <r>
          <rPr>
            <sz val="8"/>
            <color indexed="81"/>
            <rFont val="Tahoma"/>
            <family val="2"/>
            <charset val="238"/>
          </rPr>
          <t xml:space="preserve">
</t>
        </r>
      </text>
    </comment>
    <comment ref="E10" authorId="0">
      <text>
        <r>
          <rPr>
            <b/>
            <sz val="8"/>
            <color indexed="81"/>
            <rFont val="Tahoma"/>
            <family val="2"/>
            <charset val="238"/>
          </rPr>
          <t>MR - međunarodni rang
Ako igrač ima MR
 - UPIŠI 0
 - SORTIRAJ po PREZIMENU
 - SORTIRAJ po RANG-LISTI
 - UPIŠI MR</t>
        </r>
        <r>
          <rPr>
            <sz val="8"/>
            <color indexed="81"/>
            <rFont val="Tahoma"/>
            <family val="2"/>
            <charset val="238"/>
          </rPr>
          <t xml:space="preserve">
</t>
        </r>
      </text>
    </comment>
    <comment ref="F10" authorId="0">
      <text>
        <r>
          <rPr>
            <b/>
            <sz val="8"/>
            <color indexed="81"/>
            <rFont val="Tahoma"/>
            <family val="2"/>
            <charset val="238"/>
          </rPr>
          <t>DA
WC
Q
LL
SE</t>
        </r>
        <r>
          <rPr>
            <sz val="8"/>
            <color indexed="81"/>
            <rFont val="Tahoma"/>
            <family val="2"/>
            <charset val="238"/>
          </rPr>
          <t xml:space="preserve">
</t>
        </r>
      </text>
    </comment>
    <comment ref="G10" authorId="0">
      <text>
        <r>
          <rPr>
            <b/>
            <sz val="8"/>
            <color indexed="81"/>
            <rFont val="Tahoma"/>
            <family val="2"/>
            <charset val="238"/>
          </rPr>
          <t>Ukoliko postoji veći broji igrača koji imaju isti broj bodova, a time i istu poziciju na rang listi:
- ŽDRIJEBOM SE ODREDI POREDAK 
- U OVU KOLONU SE ZA DOTIČNE IGRAČE UPIŠE PREDAK 1, 2, 3, ... x 
- "SORTIRAJ PO RANG-LISTI" 
Dobije se konačan poredak za ždrijeb.</t>
        </r>
      </text>
    </comment>
  </commentList>
</comments>
</file>

<file path=xl/comments4.xml><?xml version="1.0" encoding="utf-8"?>
<comments xmlns="http://schemas.openxmlformats.org/spreadsheetml/2006/main">
  <authors>
    <author>Marin</author>
    <author>marin.miksa</author>
  </authors>
  <commentList>
    <comment ref="D9" authorId="0">
      <text>
        <r>
          <rPr>
            <b/>
            <sz val="8"/>
            <color indexed="81"/>
            <rFont val="Tahoma"/>
            <family val="2"/>
            <charset val="238"/>
          </rPr>
          <t xml:space="preserve">Prije izvačenja:
</t>
        </r>
        <r>
          <rPr>
            <b/>
            <sz val="8"/>
            <color indexed="10"/>
            <rFont val="Tahoma"/>
            <family val="2"/>
            <charset val="238"/>
          </rPr>
          <t>Odaberi broj nositelja desno od HTS loga:
07-10 igrača - 2 nositelja
11-20 igrača - 4 nositelja
21-32 igrača - 8 nositelja</t>
        </r>
        <r>
          <rPr>
            <b/>
            <sz val="8"/>
            <color indexed="81"/>
            <rFont val="Tahoma"/>
            <family val="2"/>
            <charset val="238"/>
          </rPr>
          <t xml:space="preserve">
Na "Si GT priprema" stranici, jesi li:
- popunio DA, WC, Q, LL, SE?
- popunio polje rang-lista?
- sortirao po rang-listi?
- pogledao da dva ili više igrača
   nemaju isti broj bodova?
- ako treba: ponovno sortiraj po
   rang-listi
Ako DA: nastavi raditi kostur
Inače se: vrati i završi pripremu</t>
        </r>
      </text>
    </comment>
    <comment ref="R73" authorId="1">
      <text>
        <r>
          <rPr>
            <b/>
            <sz val="8"/>
            <color indexed="81"/>
            <rFont val="Tahoma"/>
            <family val="2"/>
            <charset val="238"/>
          </rPr>
          <t>dd.mm.gggg. / ss:mm
npr:
01.01.2007. / 09:15</t>
        </r>
      </text>
    </comment>
  </commentList>
</comments>
</file>

<file path=xl/comments5.xml><?xml version="1.0" encoding="utf-8"?>
<comments xmlns="http://schemas.openxmlformats.org/spreadsheetml/2006/main">
  <authors>
    <author>Marin</author>
  </authors>
  <commentList>
    <comment ref="D10" authorId="0">
      <text>
        <r>
          <rPr>
            <b/>
            <sz val="8"/>
            <color indexed="81"/>
            <rFont val="Tahoma"/>
            <family val="2"/>
            <charset val="238"/>
          </rPr>
          <t>Kratica kluba
(do 3 slova)</t>
        </r>
        <r>
          <rPr>
            <sz val="8"/>
            <color indexed="81"/>
            <rFont val="Tahoma"/>
            <family val="2"/>
            <charset val="238"/>
          </rPr>
          <t xml:space="preserve">
</t>
        </r>
      </text>
    </comment>
    <comment ref="E10" authorId="0">
      <text>
        <r>
          <rPr>
            <b/>
            <sz val="8"/>
            <color indexed="81"/>
            <rFont val="Tahoma"/>
            <family val="2"/>
            <charset val="238"/>
          </rPr>
          <t>MR - međunarodni rang
Ako igrač ima MR
 - UPIŠI 0
 - SORTIRAJ po PREZIMENU
 - SORTIRAJ po RANG-LISTI
 - UPIŠI MR</t>
        </r>
        <r>
          <rPr>
            <sz val="8"/>
            <color indexed="81"/>
            <rFont val="Tahoma"/>
            <family val="2"/>
            <charset val="238"/>
          </rPr>
          <t xml:space="preserve">
</t>
        </r>
      </text>
    </comment>
    <comment ref="F10" authorId="0">
      <text>
        <r>
          <rPr>
            <b/>
            <sz val="8"/>
            <color indexed="81"/>
            <rFont val="Tahoma"/>
            <family val="2"/>
            <charset val="238"/>
          </rPr>
          <t>QA
WC
ALT</t>
        </r>
      </text>
    </comment>
    <comment ref="G10" authorId="0">
      <text>
        <r>
          <rPr>
            <b/>
            <sz val="8"/>
            <color indexed="81"/>
            <rFont val="Tahoma"/>
            <family val="2"/>
            <charset val="238"/>
          </rPr>
          <t>Ukoliko postoji veći broji igrača koji imaju isti broj bodova, a time i istu poziciju na rang listi:
- ŽDRIJEBOM SE ODREDI POREDAK 
- U OVU KOLONU SE ZA DOTIČNE IGRAČE UPIŠE PREDAK 1, 2, 3, ... x 
- "SORTIRAJ PO RANG-LISTI" 
Dobije se konačan poredak za ždrijeb.</t>
        </r>
      </text>
    </comment>
  </commentList>
</comments>
</file>

<file path=xl/comments6.xml><?xml version="1.0" encoding="utf-8"?>
<comments xmlns="http://schemas.openxmlformats.org/spreadsheetml/2006/main">
  <authors>
    <author>Marin</author>
    <author>marin.miksa</author>
  </authors>
  <commentList>
    <comment ref="A3" authorId="0">
      <text>
        <r>
          <rPr>
            <b/>
            <sz val="8"/>
            <color indexed="81"/>
            <rFont val="Tahoma"/>
            <family val="2"/>
            <charset val="238"/>
          </rPr>
          <t xml:space="preserve">Unesi ukupan broj nositelja desno od HTS loga, prema broju skupina.
</t>
        </r>
        <r>
          <rPr>
            <sz val="8"/>
            <color indexed="81"/>
            <rFont val="Tahoma"/>
            <family val="2"/>
            <charset val="238"/>
          </rPr>
          <t>U svakoj skupini postavljaju se po 2 nositelja i to SAMO igrači s rangom.</t>
        </r>
      </text>
    </comment>
    <comment ref="D11" authorId="0">
      <text>
        <r>
          <rPr>
            <b/>
            <sz val="8"/>
            <color indexed="81"/>
            <rFont val="Tahoma"/>
            <family val="2"/>
            <charset val="238"/>
          </rPr>
          <t xml:space="preserve">Prije izvačenja:
</t>
        </r>
        <r>
          <rPr>
            <b/>
            <sz val="8"/>
            <color indexed="10"/>
            <rFont val="Tahoma"/>
            <family val="2"/>
            <charset val="238"/>
          </rPr>
          <t>Unesi broj nositelja desno od HTS loga prema broju skupina.
U svakoj skupini postavljaju se po 2 nositelja i to SAMO igrači s rangom.</t>
        </r>
        <r>
          <rPr>
            <b/>
            <sz val="8"/>
            <color indexed="81"/>
            <rFont val="Tahoma"/>
            <family val="2"/>
            <charset val="238"/>
          </rPr>
          <t xml:space="preserve">
Na "Si Q priprema" stranici, jesi li:
- popunio QA, WC?
- popunio polje rang-lista?
- sortirao po rang-listi?
- pogledao da dva ili više igrača
   nemaju isti broj bodova?
- ako treba: ponovno sortiraj po
   rang-listi
Ako DA: nastavi raditi kostur
Inače se: vrati i završi pripremu</t>
        </r>
      </text>
    </comment>
    <comment ref="Q54" authorId="1">
      <text>
        <r>
          <rPr>
            <b/>
            <sz val="8"/>
            <color indexed="81"/>
            <rFont val="Tahoma"/>
            <family val="2"/>
            <charset val="238"/>
          </rPr>
          <t>dd.mm.gggg. / ss:mm
npr:
01.01.2007. / 09:15</t>
        </r>
      </text>
    </comment>
    <comment ref="D68" authorId="0">
      <text>
        <r>
          <rPr>
            <b/>
            <sz val="8"/>
            <color indexed="81"/>
            <rFont val="Tahoma"/>
            <family val="2"/>
            <charset val="238"/>
          </rPr>
          <t xml:space="preserve">Prije izvačenja:
</t>
        </r>
        <r>
          <rPr>
            <b/>
            <sz val="8"/>
            <color indexed="10"/>
            <rFont val="Tahoma"/>
            <family val="2"/>
            <charset val="238"/>
          </rPr>
          <t>Unesi broj nositelja desno od HTS loga prema broju skupina.
U svakoj skupini postavljaju se po 2 nositelja i to SAMO igrači s rangom.</t>
        </r>
        <r>
          <rPr>
            <b/>
            <sz val="8"/>
            <color indexed="81"/>
            <rFont val="Tahoma"/>
            <family val="2"/>
            <charset val="238"/>
          </rPr>
          <t xml:space="preserve">
Na "Si Q priprema" stranici, jesi li:
- popunio QA, WC?
- popunio polje rang-lista?
- sortirao po rang-listi?
- pogledao da dva ili više igrača
   nemaju isti broj bodova?
- ako treba: ponovno sortiraj po
   rang-listi
Ako DA: nastavi raditi kostur
Inače se: vrati i završi pripremu</t>
        </r>
      </text>
    </comment>
    <comment ref="D125" authorId="0">
      <text>
        <r>
          <rPr>
            <b/>
            <sz val="8"/>
            <color indexed="81"/>
            <rFont val="Tahoma"/>
            <family val="2"/>
            <charset val="238"/>
          </rPr>
          <t xml:space="preserve">Prije izvačenja:
</t>
        </r>
        <r>
          <rPr>
            <b/>
            <sz val="8"/>
            <color indexed="10"/>
            <rFont val="Tahoma"/>
            <family val="2"/>
            <charset val="238"/>
          </rPr>
          <t>Unesi broj nositelja desno od HTS loga prema broju skupina.
U svakoj skupini postavljaju se po 2 nositelja i to SAMO igrači s rangom.</t>
        </r>
        <r>
          <rPr>
            <b/>
            <sz val="8"/>
            <color indexed="81"/>
            <rFont val="Tahoma"/>
            <family val="2"/>
            <charset val="238"/>
          </rPr>
          <t xml:space="preserve">
Na "Si Q priprema" stranici, jesi li:
- popunio QA, WC?
- popunio polje rang-lista?
- sortirao po rang-listi?
- pogledao da dva ili više igrača
   nemaju isti broj bodova?
- ako treba: ponovno sortiraj po
   rang-listi
Ako DA: nastavi raditi kostur
Inače se: vrati i završi pripremu</t>
        </r>
      </text>
    </comment>
    <comment ref="D182" authorId="0">
      <text>
        <r>
          <rPr>
            <b/>
            <sz val="8"/>
            <color indexed="81"/>
            <rFont val="Tahoma"/>
            <family val="2"/>
            <charset val="238"/>
          </rPr>
          <t xml:space="preserve">Prije izvačenja:
</t>
        </r>
        <r>
          <rPr>
            <b/>
            <sz val="8"/>
            <color indexed="10"/>
            <rFont val="Tahoma"/>
            <family val="2"/>
            <charset val="238"/>
          </rPr>
          <t>Unesi broj nositelja desno od HTS loga prema broju skupina.
U svakoj skupini postavljaju se po 2 nositelja i to SAMO igrači s rangom.</t>
        </r>
        <r>
          <rPr>
            <b/>
            <sz val="8"/>
            <color indexed="81"/>
            <rFont val="Tahoma"/>
            <family val="2"/>
            <charset val="238"/>
          </rPr>
          <t xml:space="preserve">
Na "Si Q priprema" stranici, jesi li:
- popunio QA, WC?
- popunio polje rang-lista?
- sortirao po rang-listi?
- pogledao da dva ili više igrača
   nemaju isti broj bodova?
- ako treba: ponovno sortiraj po
   rang-listi
Ako DA: nastavi raditi kostur
Inače se: vrati i završi pripremu</t>
        </r>
      </text>
    </comment>
  </commentList>
</comments>
</file>

<file path=xl/comments7.xml><?xml version="1.0" encoding="utf-8"?>
<comments xmlns="http://schemas.openxmlformats.org/spreadsheetml/2006/main">
  <authors>
    <author>Marin</author>
  </authors>
  <commentList>
    <comment ref="E10" authorId="0">
      <text>
        <r>
          <rPr>
            <b/>
            <sz val="8"/>
            <color indexed="81"/>
            <rFont val="Tahoma"/>
            <family val="2"/>
            <charset val="238"/>
          </rPr>
          <t>Kratica kluba
(do 3 slova)</t>
        </r>
        <r>
          <rPr>
            <sz val="8"/>
            <color indexed="81"/>
            <rFont val="Tahoma"/>
            <family val="2"/>
            <charset val="238"/>
          </rPr>
          <t xml:space="preserve">
</t>
        </r>
      </text>
    </comment>
    <comment ref="F10" authorId="0">
      <text>
        <r>
          <rPr>
            <b/>
            <sz val="8"/>
            <color indexed="81"/>
            <rFont val="Tahoma"/>
            <family val="2"/>
            <charset val="238"/>
          </rPr>
          <t>MR - međunarodni rang
Ako igrač ima MR
 - UPIŠI 0
 - UPIŠI "A" u kolonu "A/B/C"
 - SORTIRAJ po PREZIMENU
 - SORTIRAJ po RANG-LISTI
 - UPIŠI MR</t>
        </r>
        <r>
          <rPr>
            <sz val="8"/>
            <color indexed="81"/>
            <rFont val="Tahoma"/>
            <family val="2"/>
            <charset val="238"/>
          </rPr>
          <t xml:space="preserve">
</t>
        </r>
      </text>
    </comment>
    <comment ref="J10" authorId="0">
      <text>
        <r>
          <rPr>
            <b/>
            <sz val="8"/>
            <color indexed="81"/>
            <rFont val="Tahoma"/>
            <family val="2"/>
            <charset val="238"/>
          </rPr>
          <t>Kratica kluba
(do 3 slova)</t>
        </r>
        <r>
          <rPr>
            <sz val="8"/>
            <color indexed="81"/>
            <rFont val="Tahoma"/>
            <family val="2"/>
            <charset val="238"/>
          </rPr>
          <t xml:space="preserve">
</t>
        </r>
      </text>
    </comment>
    <comment ref="K10" authorId="0">
      <text>
        <r>
          <rPr>
            <b/>
            <sz val="8"/>
            <color indexed="81"/>
            <rFont val="Tahoma"/>
            <family val="2"/>
            <charset val="238"/>
          </rPr>
          <t>MR - međunarodni rang
Ako igrač ima MR
 - UPIŠI 0
 - UPIŠI "A" u kolonu "A/B/C"
 - SORTIRAJ po PREZIMENU
 - SORTIRAJ po RANG-LISTI
 - UPIŠI MR</t>
        </r>
        <r>
          <rPr>
            <sz val="8"/>
            <color indexed="81"/>
            <rFont val="Tahoma"/>
            <family val="2"/>
            <charset val="238"/>
          </rPr>
          <t xml:space="preserve">
</t>
        </r>
      </text>
    </comment>
    <comment ref="M10" authorId="0">
      <text>
        <r>
          <rPr>
            <b/>
            <sz val="8"/>
            <color indexed="81"/>
            <rFont val="Tahoma"/>
            <family val="2"/>
            <charset val="238"/>
          </rPr>
          <t>DA
WC</t>
        </r>
      </text>
    </comment>
    <comment ref="N10" authorId="0">
      <text>
        <r>
          <rPr>
            <b/>
            <sz val="8"/>
            <color indexed="81"/>
            <rFont val="Tahoma"/>
            <family val="2"/>
            <charset val="238"/>
          </rPr>
          <t>Prije Sortiranja po Rang-listi pridodaj paru 
A, B ili C i to prema:
A - OBA igrača IMAJU pojedinačni RANG 
B - JEDAN od igrača IMA pojedinačni  RANG
C - NITI JEDAN igrač NEMA pojedinačni RANG 
- "SORTIRAJ PO RANG-LISTI" 
Dobije se konačan poredak za ždrijeb.</t>
        </r>
      </text>
    </comment>
  </commentList>
</comments>
</file>

<file path=xl/comments8.xml><?xml version="1.0" encoding="utf-8"?>
<comments xmlns="http://schemas.openxmlformats.org/spreadsheetml/2006/main">
  <authors>
    <author>Marin</author>
    <author>marin.miksa</author>
  </authors>
  <commentList>
    <comment ref="D10" authorId="0">
      <text>
        <r>
          <rPr>
            <b/>
            <sz val="8"/>
            <color indexed="81"/>
            <rFont val="Tahoma"/>
            <family val="2"/>
            <charset val="238"/>
          </rPr>
          <t>Prije izvačenja:
Na "Do priprema" stranici, jesi li:
- popunio DA, WC?
- popunio polje rang-lista?
- sortirao po rang-listi?
- pogledao da dva ili više para
   nemaju isti broj bodova?
- ako treba: ponovno sortiraj po
   rang-listi
Ako DA: nastavi raditi kostur
Inače se: vrati i završi pripremu</t>
        </r>
        <r>
          <rPr>
            <sz val="8"/>
            <color indexed="81"/>
            <rFont val="Tahoma"/>
            <family val="2"/>
            <charset val="238"/>
          </rPr>
          <t xml:space="preserve">
</t>
        </r>
      </text>
    </comment>
    <comment ref="R73" authorId="1">
      <text>
        <r>
          <rPr>
            <b/>
            <sz val="8"/>
            <color indexed="81"/>
            <rFont val="Tahoma"/>
            <family val="2"/>
            <charset val="238"/>
          </rPr>
          <t>dd.mm.gggg. / ss:mm
npr:
01.01.2007. / 09:15</t>
        </r>
      </text>
    </comment>
  </commentList>
</comments>
</file>

<file path=xl/sharedStrings.xml><?xml version="1.0" encoding="utf-8"?>
<sst xmlns="http://schemas.openxmlformats.org/spreadsheetml/2006/main" count="1743" uniqueCount="617">
  <si>
    <t>GLAVNI TURNIR - POJEDINAČNO</t>
  </si>
  <si>
    <t>Klub</t>
  </si>
  <si>
    <t>Mjesto</t>
  </si>
  <si>
    <t>ID turnira</t>
  </si>
  <si>
    <t>Rang turnira</t>
  </si>
  <si>
    <t>Vrhovni sudac</t>
  </si>
  <si>
    <t>Rang</t>
  </si>
  <si>
    <t>St.</t>
  </si>
  <si>
    <t>Nositelj</t>
  </si>
  <si>
    <t>Prezime, Ime</t>
  </si>
  <si>
    <t>2.kolo</t>
  </si>
  <si>
    <t>1/4 finale</t>
  </si>
  <si>
    <t>1/2 finale</t>
  </si>
  <si>
    <t>Finale</t>
  </si>
  <si>
    <t>#</t>
  </si>
  <si>
    <t>Nositelji</t>
  </si>
  <si>
    <t>Datum/Vrijeme ždrijeba:</t>
  </si>
  <si>
    <t>Datum:</t>
  </si>
  <si>
    <t>Zadnji:</t>
  </si>
  <si>
    <t>Zadnji direktno primljen igrač</t>
  </si>
  <si>
    <t>Potpis Vrhovnog suca</t>
  </si>
  <si>
    <t>Voditelji turnira</t>
  </si>
  <si>
    <t>Predstavnici igrača</t>
  </si>
  <si>
    <t>Rang nositelja:</t>
  </si>
  <si>
    <t>Rang igrača:</t>
  </si>
  <si>
    <t>Sretni gubitnici (LL)/Zamjenjuje</t>
  </si>
  <si>
    <t>Prvi:</t>
  </si>
  <si>
    <t>HTS Kosturi 40&gt;</t>
  </si>
  <si>
    <t>NE BRIŠI OVU RADNU STRANICU !!!</t>
  </si>
  <si>
    <t>HRVATSKI TENISKI SAVEZ</t>
  </si>
  <si>
    <t>Naziv turnira:</t>
  </si>
  <si>
    <t>POPUNI SAMO ZELENA POLJA</t>
  </si>
  <si>
    <t>Organizator</t>
  </si>
  <si>
    <t>Kosturi</t>
  </si>
  <si>
    <t>Rasporedi</t>
  </si>
  <si>
    <t>djevojčice do 12 god.</t>
  </si>
  <si>
    <t>djevojčice i dječaci do 12 god.</t>
  </si>
  <si>
    <t>dječaci do 12 god.</t>
  </si>
  <si>
    <t>djevojčice do 14 god.</t>
  </si>
  <si>
    <t>djevojčice i dječaci do 14 god.</t>
  </si>
  <si>
    <t>dječaci do 14 god.</t>
  </si>
  <si>
    <t>juniorke do 16 god.</t>
  </si>
  <si>
    <t>juniorke i juniori do 16 god.</t>
  </si>
  <si>
    <t>juniori do 16 god.</t>
  </si>
  <si>
    <t>juniorke do 18 god.</t>
  </si>
  <si>
    <t>juniorke i juniori do 18 god.</t>
  </si>
  <si>
    <t>juniori do 18 god.</t>
  </si>
  <si>
    <t>Seniorke</t>
  </si>
  <si>
    <t>Seniorke i Seniori</t>
  </si>
  <si>
    <t>Seniori</t>
  </si>
  <si>
    <t>Veteranke</t>
  </si>
  <si>
    <t>Veteranke i Veterani</t>
  </si>
  <si>
    <t>Veterani</t>
  </si>
  <si>
    <t>Godište</t>
  </si>
  <si>
    <t>Hrvoje</t>
  </si>
  <si>
    <t>Prezime</t>
  </si>
  <si>
    <t>Ime</t>
  </si>
  <si>
    <t>Status</t>
  </si>
  <si>
    <t>Datum turnira</t>
  </si>
  <si>
    <t>Godina</t>
  </si>
  <si>
    <t>Napomena</t>
  </si>
  <si>
    <t>Br.</t>
  </si>
  <si>
    <t>Kategorija</t>
  </si>
  <si>
    <t>Direktor turnira</t>
  </si>
  <si>
    <t>Dežurni liječnik</t>
  </si>
  <si>
    <t>&gt;40</t>
  </si>
  <si>
    <t>Jakost sudionika</t>
  </si>
  <si>
    <t>kontrola</t>
  </si>
  <si>
    <t>1-10</t>
  </si>
  <si>
    <t>11-20</t>
  </si>
  <si>
    <t>21-30</t>
  </si>
  <si>
    <t>Rang turnira 40</t>
  </si>
  <si>
    <t>&lt;=40</t>
  </si>
  <si>
    <t>Potpis igrača</t>
  </si>
  <si>
    <t>Borna</t>
  </si>
  <si>
    <t>Datum rang-liste</t>
  </si>
  <si>
    <t>Rang-lista</t>
  </si>
  <si>
    <t>bez suca</t>
  </si>
  <si>
    <t>Pobjednik</t>
  </si>
  <si>
    <t>DA</t>
  </si>
  <si>
    <t>WC</t>
  </si>
  <si>
    <t>Q</t>
  </si>
  <si>
    <t>LL</t>
  </si>
  <si>
    <t>SE</t>
  </si>
  <si>
    <t>CHR</t>
  </si>
  <si>
    <t>DID</t>
  </si>
  <si>
    <t>HRJ</t>
  </si>
  <si>
    <t>IMZ</t>
  </si>
  <si>
    <t>KVA</t>
  </si>
  <si>
    <t>MDV</t>
  </si>
  <si>
    <t>MOV</t>
  </si>
  <si>
    <t>OG</t>
  </si>
  <si>
    <t>PON</t>
  </si>
  <si>
    <t>Samobor</t>
  </si>
  <si>
    <t>SAM</t>
  </si>
  <si>
    <t>Val</t>
  </si>
  <si>
    <t>VIC</t>
  </si>
  <si>
    <t>ZGI</t>
  </si>
  <si>
    <t>ZPR</t>
  </si>
  <si>
    <t>-</t>
  </si>
  <si>
    <t>QA</t>
  </si>
  <si>
    <t>Skupina 1</t>
  </si>
  <si>
    <t>Skupina 2</t>
  </si>
  <si>
    <t>Skupina 3</t>
  </si>
  <si>
    <t>Skupina 4</t>
  </si>
  <si>
    <t>Skupina 5</t>
  </si>
  <si>
    <t>Skupina 6</t>
  </si>
  <si>
    <t>Skupina 7</t>
  </si>
  <si>
    <t>Skupina 8</t>
  </si>
  <si>
    <t>Igrač s liste čekanja/Zamjenjuje</t>
  </si>
  <si>
    <t>Stranica 1 od 2</t>
  </si>
  <si>
    <t>Stranica 2 od 2</t>
  </si>
  <si>
    <t>Redosljed nositelja</t>
  </si>
  <si>
    <t>ZBOR TENISKIH SUDACA HRVATSKE</t>
  </si>
  <si>
    <t>ROUND ROBIN KVALIFIKACIJE - POJEDINAČNO</t>
  </si>
  <si>
    <t>1</t>
  </si>
  <si>
    <t>2</t>
  </si>
  <si>
    <t>3</t>
  </si>
  <si>
    <t>4</t>
  </si>
  <si>
    <t>Pobjede /
Porazi</t>
  </si>
  <si>
    <t>Poredak</t>
  </si>
  <si>
    <t>Skupina 9</t>
  </si>
  <si>
    <t>Skupina 10</t>
  </si>
  <si>
    <t>Skupina 11</t>
  </si>
  <si>
    <t>Skupina 12</t>
  </si>
  <si>
    <t>Skupina 13</t>
  </si>
  <si>
    <t>Skupina 14</t>
  </si>
  <si>
    <t>Skupina 15</t>
  </si>
  <si>
    <t>Skupina 16</t>
  </si>
  <si>
    <t>Par s liste čekanja/Zamjenjuje</t>
  </si>
  <si>
    <t>Zadnji direktno primljen par</t>
  </si>
  <si>
    <t>GLAVNI TURNIR - PAROVI</t>
  </si>
  <si>
    <t>Rang-lista
(Si)</t>
  </si>
  <si>
    <t xml:space="preserve">               Igrač 1</t>
  </si>
  <si>
    <t xml:space="preserve">               Igrač 2</t>
  </si>
  <si>
    <t>1+2</t>
  </si>
  <si>
    <t>Rang para (1+2)</t>
  </si>
  <si>
    <t>Par</t>
  </si>
  <si>
    <t>"A/B/C"</t>
  </si>
  <si>
    <t>Pobjednici</t>
  </si>
  <si>
    <t>Kazneni bodovi</t>
  </si>
  <si>
    <t>Kazna</t>
  </si>
  <si>
    <t>Prekršaj pravila</t>
  </si>
  <si>
    <t>Nije se odjavio-la</t>
  </si>
  <si>
    <t>opomena</t>
  </si>
  <si>
    <t>1KB</t>
  </si>
  <si>
    <t>Kašnjenje na susret</t>
  </si>
  <si>
    <t>kazneni poen</t>
  </si>
  <si>
    <t>2KB</t>
  </si>
  <si>
    <t>Otezanje igre</t>
  </si>
  <si>
    <t>kazneni gem</t>
  </si>
  <si>
    <t>3KB</t>
  </si>
  <si>
    <t>Prostački izrazi</t>
  </si>
  <si>
    <t>diskvalifikacija</t>
  </si>
  <si>
    <t>6KB</t>
  </si>
  <si>
    <t>Primanje savjeta i treneri</t>
  </si>
  <si>
    <t>Prostačka gesta</t>
  </si>
  <si>
    <t>Zloupotreba lopte</t>
  </si>
  <si>
    <t>Zloupotreba reketa</t>
  </si>
  <si>
    <t>Zloupotreba opreme</t>
  </si>
  <si>
    <t>Psovanje</t>
  </si>
  <si>
    <t>Fizičko zlostavljanje</t>
  </si>
  <si>
    <t>Nesportsko ponašanje</t>
  </si>
  <si>
    <t>Nekorektan odnos</t>
  </si>
  <si>
    <t>Napuštanje terena</t>
  </si>
  <si>
    <t>Podcjenjivačko igranje</t>
  </si>
  <si>
    <t xml:space="preserve">           KVALIFIKACIJE - POJEDINAČNO</t>
  </si>
  <si>
    <t xml:space="preserve">            LISTA ZA ŽDRIJEB</t>
  </si>
  <si>
    <t xml:space="preserve">            GLAVNI TURNIR - POJEDINAČNO</t>
  </si>
  <si>
    <t xml:space="preserve">              LISTA ZA ŽDRIJEB</t>
  </si>
  <si>
    <t xml:space="preserve">             LISTA PRIJAVLJENIH IGRAČA</t>
  </si>
  <si>
    <t xml:space="preserve">              IZVJEŠTAJ O PREKRŠAJIMA PRAVILA PONAŠANJA</t>
  </si>
  <si>
    <t xml:space="preserve">               GLAVNI TURNIR - PAROVI</t>
  </si>
  <si>
    <t xml:space="preserve">                LISTA ZA ŽDRIJEB</t>
  </si>
  <si>
    <t xml:space="preserve">             IZVJEŠTAJ VRHOVNOG SUCA</t>
  </si>
  <si>
    <t>Kopija predana ili poslana:</t>
  </si>
  <si>
    <t>PODACI O TURNIRU</t>
  </si>
  <si>
    <t>Puni naziv turnira</t>
  </si>
  <si>
    <t>Kvalifikacije</t>
  </si>
  <si>
    <t>Datum početak</t>
  </si>
  <si>
    <t>Datum završetak</t>
  </si>
  <si>
    <t>Glavni turnir</t>
  </si>
  <si>
    <t>Prijavnina [kn]</t>
  </si>
  <si>
    <t>Nagradni fond [kn]</t>
  </si>
  <si>
    <t>Organizator turnira</t>
  </si>
  <si>
    <t>M</t>
  </si>
  <si>
    <t>Ž</t>
  </si>
  <si>
    <t>Najavljen kostur</t>
  </si>
  <si>
    <t>Odigran kostur</t>
  </si>
  <si>
    <t>Prvi po rangu</t>
  </si>
  <si>
    <t>Zadnji po rangu</t>
  </si>
  <si>
    <t>Broj "bye"-eva</t>
  </si>
  <si>
    <t>Broj prijav.igrača</t>
  </si>
  <si>
    <t>Broj prijav.parova</t>
  </si>
  <si>
    <t>Parovi</t>
  </si>
  <si>
    <t xml:space="preserve">   Glavni turnir</t>
  </si>
  <si>
    <t xml:space="preserve">   Kvalifikacije</t>
  </si>
  <si>
    <t>ORGANIZATOR, ID i RANG</t>
  </si>
  <si>
    <t>DATUM</t>
  </si>
  <si>
    <t>PRIJAVNINA i NAGRADNI FOND</t>
  </si>
  <si>
    <t>POJEDINAČNO</t>
  </si>
  <si>
    <t>PAROVI</t>
  </si>
  <si>
    <t>Napomena:</t>
  </si>
  <si>
    <t>Vrsta podloge</t>
  </si>
  <si>
    <t>Broj</t>
  </si>
  <si>
    <t>Kvaliteta (1-5)</t>
  </si>
  <si>
    <t>Održavanje (1-5)</t>
  </si>
  <si>
    <t>Opremljenost (1-5)</t>
  </si>
  <si>
    <t xml:space="preserve">   za SUSRETE</t>
  </si>
  <si>
    <t xml:space="preserve">   za ZAGRIJAVANJE</t>
  </si>
  <si>
    <t xml:space="preserve">   u SLUČAJU NEPOGODE</t>
  </si>
  <si>
    <t>IGRALIŠTA</t>
  </si>
  <si>
    <t>RASVJETA</t>
  </si>
  <si>
    <t>BROJ IGRALIŠTA</t>
  </si>
  <si>
    <t>Na otvorenom</t>
  </si>
  <si>
    <t>U dvorani</t>
  </si>
  <si>
    <t>Beton/Tepih</t>
  </si>
  <si>
    <t>Zemlja</t>
  </si>
  <si>
    <t>Korištena</t>
  </si>
  <si>
    <t>O KLUBU</t>
  </si>
  <si>
    <t>Adresa</t>
  </si>
  <si>
    <t>Telefon</t>
  </si>
  <si>
    <t>Fax</t>
  </si>
  <si>
    <t>e-mail</t>
  </si>
  <si>
    <t>Najlošija ra. (lux)</t>
  </si>
  <si>
    <t>Najbolja ra. (lux)</t>
  </si>
  <si>
    <t>Zadovoljava odigravanje turnira u slučaju potrebe</t>
  </si>
  <si>
    <t>Tuš</t>
  </si>
  <si>
    <t>Svlačionica</t>
  </si>
  <si>
    <t>Ugost. Objekt</t>
  </si>
  <si>
    <t>Br. sjedećih mj.</t>
  </si>
  <si>
    <t>Naziv</t>
  </si>
  <si>
    <t>Pod pritiskom</t>
  </si>
  <si>
    <t>Zemlja porjekla</t>
  </si>
  <si>
    <t>ITF testirane</t>
  </si>
  <si>
    <t>LOPTE</t>
  </si>
  <si>
    <t>PODACI O KLUBU, IGRALIŠTIMA I LOPTAMA</t>
  </si>
  <si>
    <t>PROMJENA LOPTI</t>
  </si>
  <si>
    <t>Promjena lopti</t>
  </si>
  <si>
    <t>Nove lopte svaki susret</t>
  </si>
  <si>
    <t>Opći dojam (1-5)</t>
  </si>
  <si>
    <t>Količina</t>
  </si>
  <si>
    <t>LOPTE ZA ZAGRIJAVANJE</t>
  </si>
  <si>
    <t>TV</t>
  </si>
  <si>
    <t>Broj po danu</t>
  </si>
  <si>
    <t>Depozit</t>
  </si>
  <si>
    <t>Korištene</t>
  </si>
  <si>
    <t>Napomena: (sudački stolci, klupe za igrače, pregrade terena, singles sticks, mreža, semafori, rasvjeta, lopte, itd.)</t>
  </si>
  <si>
    <t>Ime i prezime</t>
  </si>
  <si>
    <t>ORGANIZACIJA</t>
  </si>
  <si>
    <t>Voditelj turnira</t>
  </si>
  <si>
    <t>PREDSTAVNICI HTS-a</t>
  </si>
  <si>
    <t>Pomoćnik vrhovnog suca</t>
  </si>
  <si>
    <t>Šef sudaca</t>
  </si>
  <si>
    <t>PODACI O ORGANIZACIJI, SUCIMA I OSTALO</t>
  </si>
  <si>
    <t>PODACI O KORIŠTENIM</t>
  </si>
  <si>
    <t>Pojedinačno - Kvalifikacije</t>
  </si>
  <si>
    <t>Pojedinačno - Glavni Turnir</t>
  </si>
  <si>
    <t>POPIS SUDACA</t>
  </si>
  <si>
    <t xml:space="preserve">   Glavnim sucima</t>
  </si>
  <si>
    <t xml:space="preserve">   Linijskim sucima</t>
  </si>
  <si>
    <t xml:space="preserve">   Sakupljačima lopti</t>
  </si>
  <si>
    <t>1.</t>
  </si>
  <si>
    <t>2.</t>
  </si>
  <si>
    <t>3.</t>
  </si>
  <si>
    <t>4.</t>
  </si>
  <si>
    <t>5.</t>
  </si>
  <si>
    <t>6.</t>
  </si>
  <si>
    <t>7.</t>
  </si>
  <si>
    <t>8.</t>
  </si>
  <si>
    <t>9.</t>
  </si>
  <si>
    <t>10.</t>
  </si>
  <si>
    <t>11.</t>
  </si>
  <si>
    <t>12.</t>
  </si>
  <si>
    <t>13.</t>
  </si>
  <si>
    <t>14.</t>
  </si>
  <si>
    <t>15.</t>
  </si>
  <si>
    <t>Radni dani</t>
  </si>
  <si>
    <t>Uk. broj susreta</t>
  </si>
  <si>
    <t>Uk. broj linija</t>
  </si>
  <si>
    <t>Svojim potpisom potvrđujem da su izvlačenja bila javna i u skladu s HTS pravilnicima.</t>
  </si>
  <si>
    <t>Napomena: (Prijedlozi za buduće turnire, itd.)</t>
  </si>
  <si>
    <t>gs 2</t>
  </si>
  <si>
    <t>gs 3</t>
  </si>
  <si>
    <t>gs 4</t>
  </si>
  <si>
    <t>gs 5</t>
  </si>
  <si>
    <t>gs 6</t>
  </si>
  <si>
    <t>gs 7</t>
  </si>
  <si>
    <t>gs 8</t>
  </si>
  <si>
    <t>gs 9</t>
  </si>
  <si>
    <t>gs 10</t>
  </si>
  <si>
    <t>gs 11</t>
  </si>
  <si>
    <t>gs 12</t>
  </si>
  <si>
    <t>gs 13</t>
  </si>
  <si>
    <t>gs 14</t>
  </si>
  <si>
    <t>gs 15</t>
  </si>
  <si>
    <t>IME i KATEGORIJA</t>
  </si>
  <si>
    <t>Priloženi papiri:</t>
  </si>
  <si>
    <t>1a</t>
  </si>
  <si>
    <t>2a</t>
  </si>
  <si>
    <t>3a</t>
  </si>
  <si>
    <t>4a</t>
  </si>
  <si>
    <t>5a</t>
  </si>
  <si>
    <t>6a</t>
  </si>
  <si>
    <t>7a</t>
  </si>
  <si>
    <t>8a</t>
  </si>
  <si>
    <t>HTS - Hrvatski Teniski Savez</t>
  </si>
  <si>
    <t>ZTSH - Zbor Teniskih Sudaca Hrvatske</t>
  </si>
  <si>
    <t/>
  </si>
  <si>
    <t>UPOZORENJE !!!</t>
  </si>
  <si>
    <t>ALT</t>
  </si>
  <si>
    <t>8</t>
  </si>
  <si>
    <t>Broj nositelja</t>
  </si>
  <si>
    <t>gs 1</t>
  </si>
  <si>
    <t>Provjeri za noviju verziju programa nakon:</t>
  </si>
  <si>
    <t>b</t>
  </si>
  <si>
    <t>VUL</t>
  </si>
  <si>
    <r>
      <t xml:space="preserve">Da bi imali pristup programu
HTS Kosturi
</t>
    </r>
    <r>
      <rPr>
        <b/>
        <sz val="20"/>
        <color indexed="10"/>
        <rFont val="Verdana"/>
        <family val="2"/>
        <charset val="238"/>
      </rPr>
      <t xml:space="preserve">morate omogućit Macro naredbe </t>
    </r>
    <r>
      <rPr>
        <b/>
        <sz val="20"/>
        <rFont val="Verdana"/>
        <family val="2"/>
        <charset val="238"/>
      </rPr>
      <t xml:space="preserve">
</t>
    </r>
    <r>
      <rPr>
        <sz val="10"/>
        <rFont val="Verdana"/>
        <family val="2"/>
        <charset val="238"/>
      </rPr>
      <t xml:space="preserve">
</t>
    </r>
    <r>
      <rPr>
        <sz val="14"/>
        <rFont val="Verdana"/>
        <family val="2"/>
        <charset val="238"/>
      </rPr>
      <t xml:space="preserve">Zatvorite Excel i ponovno otvorite program HTS Kosturi.
Pri obavijesti </t>
    </r>
    <r>
      <rPr>
        <i/>
        <sz val="14"/>
        <color indexed="12"/>
        <rFont val="Verdana"/>
        <family val="2"/>
        <charset val="238"/>
      </rPr>
      <t>"Security warning"</t>
    </r>
    <r>
      <rPr>
        <sz val="14"/>
        <rFont val="Verdana"/>
        <family val="2"/>
        <charset val="238"/>
      </rPr>
      <t xml:space="preserve"> odabrati </t>
    </r>
    <r>
      <rPr>
        <i/>
        <sz val="14"/>
        <color indexed="10"/>
        <rFont val="Verdana"/>
        <family val="2"/>
        <charset val="238"/>
      </rPr>
      <t xml:space="preserve">"Enable macros"
</t>
    </r>
  </si>
  <si>
    <r>
      <rPr>
        <b/>
        <u/>
        <sz val="14"/>
        <rFont val="Verdana"/>
        <family val="2"/>
        <charset val="238"/>
      </rPr>
      <t xml:space="preserve">Promjena sigurnosti Excela: </t>
    </r>
    <r>
      <rPr>
        <sz val="16"/>
        <rFont val="Verdana"/>
        <family val="2"/>
        <charset val="238"/>
      </rPr>
      <t xml:space="preserve">
</t>
    </r>
    <r>
      <rPr>
        <b/>
        <sz val="14"/>
        <rFont val="Verdana"/>
        <family val="2"/>
        <charset val="238"/>
      </rPr>
      <t>Excel 2003:</t>
    </r>
    <r>
      <rPr>
        <sz val="16"/>
        <rFont val="Verdana"/>
        <family val="2"/>
        <charset val="238"/>
      </rPr>
      <t xml:space="preserve">
</t>
    </r>
    <r>
      <rPr>
        <sz val="12"/>
        <rFont val="Verdana"/>
        <family val="2"/>
        <charset val="238"/>
      </rPr>
      <t xml:space="preserve">Tools &gt; Options &gt; Security &gt; Macro Security... &gt; Medium
</t>
    </r>
    <r>
      <rPr>
        <sz val="16"/>
        <rFont val="Verdana"/>
        <family val="2"/>
        <charset val="238"/>
      </rPr>
      <t xml:space="preserve">
</t>
    </r>
    <r>
      <rPr>
        <b/>
        <sz val="14"/>
        <rFont val="Verdana"/>
        <family val="2"/>
        <charset val="238"/>
      </rPr>
      <t>Excel 2007:</t>
    </r>
    <r>
      <rPr>
        <sz val="16"/>
        <rFont val="Verdana"/>
        <family val="2"/>
        <charset val="238"/>
      </rPr>
      <t xml:space="preserve">
</t>
    </r>
    <r>
      <rPr>
        <sz val="12"/>
        <rFont val="Verdana"/>
        <family val="2"/>
        <charset val="238"/>
      </rPr>
      <t>Office button &gt; Excel Options &gt; Trust Center &gt; Trust Center Settings &gt; 
Macro Settings &gt; Disable all macros with notification ili (Enable all macros)</t>
    </r>
  </si>
  <si>
    <r>
      <t xml:space="preserve">
VAŽNA NAPOMENA:
</t>
    </r>
    <r>
      <rPr>
        <sz val="10"/>
        <rFont val="Verdana"/>
        <family val="2"/>
        <charset val="238"/>
      </rPr>
      <t xml:space="preserve">Prije upotrebe pročitajte </t>
    </r>
    <r>
      <rPr>
        <b/>
        <i/>
        <sz val="10"/>
        <rFont val="Verdana"/>
        <family val="2"/>
        <charset val="238"/>
      </rPr>
      <t>HTS Kosturi Upute 2007.xx</t>
    </r>
    <r>
      <rPr>
        <sz val="10"/>
        <rFont val="Verdana"/>
        <family val="2"/>
        <charset val="238"/>
      </rPr>
      <t xml:space="preserve"> koje možete pronaći na </t>
    </r>
    <r>
      <rPr>
        <sz val="10"/>
        <color indexed="12"/>
        <rFont val="Verdana"/>
        <family val="2"/>
        <charset val="238"/>
      </rPr>
      <t>http://www.hts.hr/ztshprogrami</t>
    </r>
    <r>
      <rPr>
        <b/>
        <sz val="10"/>
        <rFont val="Verdana"/>
        <family val="2"/>
        <charset val="238"/>
      </rPr>
      <t xml:space="preserve">
</t>
    </r>
    <r>
      <rPr>
        <sz val="10"/>
        <rFont val="Verdana"/>
        <family val="2"/>
        <charset val="238"/>
      </rPr>
      <t xml:space="preserve">
</t>
    </r>
    <r>
      <rPr>
        <b/>
        <i/>
        <sz val="11"/>
        <color indexed="10"/>
        <rFont val="Verdana"/>
        <family val="2"/>
        <charset val="238"/>
      </rPr>
      <t>Pri obavijesti "Security warning" odabrati "Enable macros"</t>
    </r>
    <r>
      <rPr>
        <b/>
        <i/>
        <sz val="10"/>
        <rFont val="Verdana"/>
        <family val="2"/>
        <charset val="238"/>
      </rPr>
      <t xml:space="preserve">
Promjena sigurnosti Excela:
</t>
    </r>
    <r>
      <rPr>
        <i/>
        <sz val="10"/>
        <rFont val="Verdana"/>
        <family val="2"/>
        <charset val="238"/>
      </rPr>
      <t>Excel 2003:   Tools &gt; Options &gt; Security &gt; Macro Security... &gt; Medium
Excel 2007:   Office button &gt; Excel Options &gt; Trust Center &gt; Trust Center Settings &gt; 
                  Macro Settings &gt; Disable all macros with notification ili (Enable all macros)</t>
    </r>
    <r>
      <rPr>
        <sz val="10"/>
        <rFont val="Verdana"/>
        <family val="2"/>
        <charset val="238"/>
      </rPr>
      <t xml:space="preserve">
U cilju da datoteka (file) turnira bude što manja: obriši sve radne stranice (Sheets) koje su nepotrebne ili se neće koristiti tijekom turnira.
</t>
    </r>
    <r>
      <rPr>
        <b/>
        <i/>
        <sz val="10"/>
        <color indexed="10"/>
        <rFont val="Verdana"/>
        <family val="2"/>
        <charset val="238"/>
      </rPr>
      <t>NE BRIŠI JEDINO RADNE STRANICE !!!</t>
    </r>
    <r>
      <rPr>
        <sz val="10"/>
        <rFont val="Verdana"/>
        <family val="2"/>
        <charset val="238"/>
      </rPr>
      <t xml:space="preserve">
    </t>
    </r>
    <r>
      <rPr>
        <b/>
        <sz val="10"/>
        <rFont val="Verdana"/>
        <family val="2"/>
        <charset val="238"/>
      </rPr>
      <t>Pocetna, Izvještaj, Prekrsaj pravila</t>
    </r>
    <r>
      <rPr>
        <sz val="10"/>
        <rFont val="Verdana"/>
        <family val="2"/>
        <charset val="238"/>
      </rPr>
      <t xml:space="preserve">, te
    </t>
    </r>
    <r>
      <rPr>
        <b/>
        <sz val="10"/>
        <rFont val="Verdana"/>
        <family val="2"/>
        <charset val="238"/>
      </rPr>
      <t>Lista prijave</t>
    </r>
    <r>
      <rPr>
        <sz val="10"/>
        <rFont val="Verdana"/>
        <family val="2"/>
        <charset val="238"/>
      </rPr>
      <t xml:space="preserve">      ako koristiš </t>
    </r>
    <r>
      <rPr>
        <i/>
        <sz val="10"/>
        <rFont val="Verdana"/>
        <family val="2"/>
        <charset val="238"/>
      </rPr>
      <t>Povrede pravila, Rasporede</t>
    </r>
    <r>
      <rPr>
        <sz val="10"/>
        <rFont val="Verdana"/>
        <family val="2"/>
        <charset val="238"/>
      </rPr>
      <t xml:space="preserve">
    </t>
    </r>
    <r>
      <rPr>
        <b/>
        <sz val="10"/>
        <rFont val="Verdana"/>
        <family val="2"/>
        <charset val="238"/>
      </rPr>
      <t>Si GT priprema</t>
    </r>
    <r>
      <rPr>
        <sz val="10"/>
        <rFont val="Verdana"/>
        <family val="2"/>
        <charset val="238"/>
      </rPr>
      <t xml:space="preserve">   ako koristiš kosture </t>
    </r>
    <r>
      <rPr>
        <i/>
        <sz val="10"/>
        <rFont val="Verdana"/>
        <family val="2"/>
        <charset val="238"/>
      </rPr>
      <t xml:space="preserve">Si GT 40, Si GT 32, Si GT 24, Si GT 16, Si GT 12, Si GT 8 </t>
    </r>
    <r>
      <rPr>
        <sz val="10"/>
        <rFont val="Verdana"/>
        <family val="2"/>
        <charset val="238"/>
      </rPr>
      <t xml:space="preserve">
    </t>
    </r>
    <r>
      <rPr>
        <b/>
        <sz val="10"/>
        <rFont val="Verdana"/>
        <family val="2"/>
        <charset val="238"/>
      </rPr>
      <t>Si Q priprema</t>
    </r>
    <r>
      <rPr>
        <sz val="10"/>
        <rFont val="Verdana"/>
        <family val="2"/>
        <charset val="238"/>
      </rPr>
      <t xml:space="preserve">    ako koristiš kosture </t>
    </r>
    <r>
      <rPr>
        <i/>
        <sz val="10"/>
        <rFont val="Verdana"/>
        <family val="2"/>
        <charset val="238"/>
      </rPr>
      <t>Si Q RR16, Si Q 128&gt;8, Si Q 64&gt;8, SiQ 32&gt;8</t>
    </r>
    <r>
      <rPr>
        <sz val="10"/>
        <rFont val="Verdana"/>
        <family val="2"/>
        <charset val="238"/>
      </rPr>
      <t xml:space="preserve">
    </t>
    </r>
    <r>
      <rPr>
        <b/>
        <sz val="10"/>
        <rFont val="Verdana"/>
        <family val="2"/>
        <charset val="238"/>
      </rPr>
      <t>Do priprema</t>
    </r>
    <r>
      <rPr>
        <sz val="10"/>
        <rFont val="Verdana"/>
        <family val="2"/>
        <charset val="238"/>
      </rPr>
      <t xml:space="preserve">      ako koristiš kosture </t>
    </r>
    <r>
      <rPr>
        <i/>
        <sz val="10"/>
        <rFont val="Verdana"/>
        <family val="2"/>
        <charset val="238"/>
      </rPr>
      <t>Do 16, Do 8, Do 4</t>
    </r>
  </si>
  <si>
    <t>Treba biti</t>
  </si>
  <si>
    <t>a</t>
  </si>
  <si>
    <t>ITE</t>
  </si>
  <si>
    <r>
      <t xml:space="preserve">Ideja i izrada:
</t>
    </r>
    <r>
      <rPr>
        <b/>
        <sz val="9"/>
        <rFont val="Verdana"/>
        <family val="2"/>
        <charset val="238"/>
      </rPr>
      <t xml:space="preserve">Marin Mikša
</t>
    </r>
    <r>
      <rPr>
        <b/>
        <sz val="8"/>
        <color indexed="10"/>
        <rFont val="Verdana"/>
        <family val="2"/>
        <charset val="238"/>
      </rPr>
      <t>mob: 099-2187840</t>
    </r>
    <r>
      <rPr>
        <b/>
        <sz val="8"/>
        <rFont val="Verdana"/>
        <family val="2"/>
        <charset val="238"/>
      </rPr>
      <t xml:space="preserve">
</t>
    </r>
    <r>
      <rPr>
        <b/>
        <sz val="6"/>
        <color indexed="12"/>
        <rFont val="Verdana"/>
        <family val="2"/>
        <charset val="238"/>
      </rPr>
      <t>www.hts.hr/sekcije-udruge/ztsh</t>
    </r>
  </si>
  <si>
    <t>2012.03</t>
  </si>
  <si>
    <t>Copyright © Marin Mikša 2007.-2012.</t>
  </si>
  <si>
    <t>TSP</t>
  </si>
  <si>
    <t xml:space="preserve">OP SAMOBORA </t>
  </si>
  <si>
    <t>TK Samobor1890</t>
  </si>
  <si>
    <t>Mladen Šančić</t>
  </si>
  <si>
    <t>Igor Bukvić</t>
  </si>
  <si>
    <t xml:space="preserve">Boris Lumpert </t>
  </si>
  <si>
    <t xml:space="preserve">DZ </t>
  </si>
  <si>
    <t>TK Samobor 1890</t>
  </si>
  <si>
    <t>RR/48</t>
  </si>
  <si>
    <t xml:space="preserve">J.Jelačića30 </t>
  </si>
  <si>
    <t>01 3363 501</t>
  </si>
  <si>
    <t>tk.samobor@optinet.hr</t>
  </si>
  <si>
    <t>HEAD ATP</t>
  </si>
  <si>
    <t>Kina</t>
  </si>
  <si>
    <t>3/set 3</t>
  </si>
  <si>
    <t>26.04.2016.</t>
  </si>
  <si>
    <t>HTK</t>
  </si>
  <si>
    <t>SALOPEK Dorian</t>
  </si>
  <si>
    <t>ŠTABEK Domagoj</t>
  </si>
  <si>
    <t>TER</t>
  </si>
  <si>
    <t>KRSTANOVIĆ Luka</t>
  </si>
  <si>
    <t>KRŽIĆ Tin</t>
  </si>
  <si>
    <t>GMJ</t>
  </si>
  <si>
    <t>TTC</t>
  </si>
  <si>
    <t>RAL</t>
  </si>
  <si>
    <t>VUKADIN</t>
  </si>
  <si>
    <t>Noa</t>
  </si>
  <si>
    <t>MAJCAN</t>
  </si>
  <si>
    <t>Lovro</t>
  </si>
  <si>
    <t>DOŠEN</t>
  </si>
  <si>
    <t>Luka</t>
  </si>
  <si>
    <t>BOBAN</t>
  </si>
  <si>
    <t>Viktor</t>
  </si>
  <si>
    <t>ŠKREB</t>
  </si>
  <si>
    <t>Daniel</t>
  </si>
  <si>
    <t>NIKOLIĆ</t>
  </si>
  <si>
    <t>Erik</t>
  </si>
  <si>
    <t>DRAŽIĆ</t>
  </si>
  <si>
    <t>David</t>
  </si>
  <si>
    <t>SALOPEK</t>
  </si>
  <si>
    <t>Dorian</t>
  </si>
  <si>
    <t>NOTHIG</t>
  </si>
  <si>
    <t>Karlo</t>
  </si>
  <si>
    <t>BOBOK</t>
  </si>
  <si>
    <t>Josip</t>
  </si>
  <si>
    <t>VOLJAVEC</t>
  </si>
  <si>
    <t>Antonio</t>
  </si>
  <si>
    <t>ŠTABEK</t>
  </si>
  <si>
    <t>Domagoj</t>
  </si>
  <si>
    <t>KRSTANOVIĆ</t>
  </si>
  <si>
    <t>DUBOVEČAK</t>
  </si>
  <si>
    <t>Filip</t>
  </si>
  <si>
    <t>MARIĆ</t>
  </si>
  <si>
    <t>Vid</t>
  </si>
  <si>
    <t>KRŽIĆ</t>
  </si>
  <si>
    <t>Tin</t>
  </si>
  <si>
    <t>HORVATIĆ</t>
  </si>
  <si>
    <t>Max Ivan</t>
  </si>
  <si>
    <t>ĐEREK</t>
  </si>
  <si>
    <t>Nikola</t>
  </si>
  <si>
    <t>ŠANTIĆ</t>
  </si>
  <si>
    <t>Leopold</t>
  </si>
  <si>
    <t>KOLIĆ</t>
  </si>
  <si>
    <t>Kristijan</t>
  </si>
  <si>
    <t>BRADVIĆ</t>
  </si>
  <si>
    <t>Marko</t>
  </si>
  <si>
    <t>KARAČIĆ</t>
  </si>
  <si>
    <t>Vilim</t>
  </si>
  <si>
    <t>CEREZIN</t>
  </si>
  <si>
    <t>Vito</t>
  </si>
  <si>
    <t>POPOVIĆ</t>
  </si>
  <si>
    <t>Mario</t>
  </si>
  <si>
    <t>JAMIĆ</t>
  </si>
  <si>
    <t>Jurica</t>
  </si>
  <si>
    <t>JURLINA</t>
  </si>
  <si>
    <t>MUŠOVIĆ</t>
  </si>
  <si>
    <t>Denis</t>
  </si>
  <si>
    <t>ANĐELKOVIĆ</t>
  </si>
  <si>
    <t>Tom</t>
  </si>
  <si>
    <t>Mihael</t>
  </si>
  <si>
    <t>BENČEC</t>
  </si>
  <si>
    <t>Benjamin</t>
  </si>
  <si>
    <t>Ivor</t>
  </si>
  <si>
    <t>GRDINIĆ</t>
  </si>
  <si>
    <t>Max Zvonimir</t>
  </si>
  <si>
    <t>GRGEC</t>
  </si>
  <si>
    <t>JERIČEVIĆ</t>
  </si>
  <si>
    <t>Marin</t>
  </si>
  <si>
    <t>KUHAR</t>
  </si>
  <si>
    <t>LUČIĆ</t>
  </si>
  <si>
    <t>MARIČIĆ</t>
  </si>
  <si>
    <t>MARKOTIĆ</t>
  </si>
  <si>
    <t>MARTINOVIĆ</t>
  </si>
  <si>
    <t>Fran</t>
  </si>
  <si>
    <t>PRGOMET</t>
  </si>
  <si>
    <t>Jakov</t>
  </si>
  <si>
    <t>PUPIĆ</t>
  </si>
  <si>
    <t>Martin</t>
  </si>
  <si>
    <t>RADIĆ</t>
  </si>
  <si>
    <t>SCHNEIDER</t>
  </si>
  <si>
    <t>SEVEROVIĆ</t>
  </si>
  <si>
    <t>Patrik</t>
  </si>
  <si>
    <t>STEPANIĆ</t>
  </si>
  <si>
    <t>Bartol</t>
  </si>
  <si>
    <t>ŠAGOVAC</t>
  </si>
  <si>
    <t>TURČEC</t>
  </si>
  <si>
    <t>VIDUKA</t>
  </si>
  <si>
    <t>Edvin</t>
  </si>
  <si>
    <t xml:space="preserve">Lun-Petre </t>
  </si>
  <si>
    <t>MINIRI</t>
  </si>
  <si>
    <t>BAŠIĆ</t>
  </si>
  <si>
    <t>BULOVIĆ</t>
  </si>
  <si>
    <t>Matija</t>
  </si>
  <si>
    <t xml:space="preserve">WC </t>
  </si>
  <si>
    <t>Tom ANĐELKOVIĆ (ITE)</t>
  </si>
  <si>
    <t>Luka BAŠIĆ (RAL)</t>
  </si>
  <si>
    <t>Benjamin BENČEC (TTC)</t>
  </si>
  <si>
    <t>Josip BOBOK (IMZ)</t>
  </si>
  <si>
    <t>Marko BRADVIĆ (GMJ)</t>
  </si>
  <si>
    <t>Matija BULOVIĆ (RAL)</t>
  </si>
  <si>
    <t>Vito CEREZIN (TTC)</t>
  </si>
  <si>
    <t>Ivor DRAŽIĆ (SAM)</t>
  </si>
  <si>
    <t>Filip DUBOVEČAK (ITE)</t>
  </si>
  <si>
    <t>Nikola ĐEREK (MDV)</t>
  </si>
  <si>
    <t>Max Zvonimir GRDINIĆ (ITE)</t>
  </si>
  <si>
    <t>Borna GRGEC (ZPR)</t>
  </si>
  <si>
    <t>Max Ivan HORVATIĆ (ITE)</t>
  </si>
  <si>
    <t>Jurica JAMIĆ (MOV)</t>
  </si>
  <si>
    <t>Marin JERIČEVIĆ (CHR)</t>
  </si>
  <si>
    <t>Luka JURLINA (ITE)</t>
  </si>
  <si>
    <t>Vilim KARAČIĆ (TER)</t>
  </si>
  <si>
    <t>Kristijan KOLIĆ (OG)</t>
  </si>
  <si>
    <t>Luka KRSTANOVIĆ (PON)</t>
  </si>
  <si>
    <t>Tin KRŽIĆ (TER)</t>
  </si>
  <si>
    <t>Val KUHAR (IMZ)</t>
  </si>
  <si>
    <t>Vito LUČIĆ (ZPR)</t>
  </si>
  <si>
    <t>Lovro MARIČIĆ (ITE)</t>
  </si>
  <si>
    <t>Hrvoje MARIĆ (PON)</t>
  </si>
  <si>
    <t>Vid MARIĆ (TSP)</t>
  </si>
  <si>
    <t>Lovro MARKOTIĆ (ITE)</t>
  </si>
  <si>
    <t>Fran MARTINOVIĆ (HRJ)</t>
  </si>
  <si>
    <t>Edvin MINIRI (VIC)</t>
  </si>
  <si>
    <t>Denis MUŠOVIĆ (VUL)</t>
  </si>
  <si>
    <t>Karlo NOTHIG (ITE)</t>
  </si>
  <si>
    <t>Mario POPOVIĆ (KVA)</t>
  </si>
  <si>
    <t>Jakov PRGOMET (ITE)</t>
  </si>
  <si>
    <t>Martin PUPIĆ (HTK)</t>
  </si>
  <si>
    <t>Lun-Petre  RADIĆ (TSP)</t>
  </si>
  <si>
    <t>Mihael SCHNEIDER (HTK)</t>
  </si>
  <si>
    <t>Patrik SEVEROVIĆ (SAM)</t>
  </si>
  <si>
    <t>Bartol STEPANIĆ (ITE)</t>
  </si>
  <si>
    <t>Erik ŠAGOVAC (PON)</t>
  </si>
  <si>
    <t>Leopold ŠANTIĆ (DID)</t>
  </si>
  <si>
    <t>Domagoj ŠTABEK (TER)</t>
  </si>
  <si>
    <t>Vito TURČEC (ITE)</t>
  </si>
  <si>
    <t>Noa VIDUKA (HRJ)</t>
  </si>
  <si>
    <t>Antonio VOLJAVEC (PON)</t>
  </si>
  <si>
    <t xml:space="preserve">22.04.2016./8:20 h </t>
  </si>
  <si>
    <t>NR</t>
  </si>
  <si>
    <t>CVJETKOVIĆ</t>
  </si>
  <si>
    <t>Marin CVJETKOVIĆ (MOV)</t>
  </si>
  <si>
    <t xml:space="preserve">KRSTANOVIĆ Luka </t>
  </si>
  <si>
    <t xml:space="preserve">VIDUKA Noa </t>
  </si>
  <si>
    <t>60 60</t>
  </si>
  <si>
    <t>61 62</t>
  </si>
  <si>
    <t>62 64</t>
  </si>
  <si>
    <t>63 63</t>
  </si>
  <si>
    <t>60 61</t>
  </si>
  <si>
    <t>16 06</t>
  </si>
  <si>
    <t>61 60</t>
  </si>
  <si>
    <t>63 61</t>
  </si>
  <si>
    <t>62 76(6)</t>
  </si>
  <si>
    <t>26 67(6)</t>
  </si>
  <si>
    <t>64 76(4)</t>
  </si>
  <si>
    <t>46 67(4)</t>
  </si>
  <si>
    <t>36 26</t>
  </si>
  <si>
    <t>16 26</t>
  </si>
  <si>
    <t>06 06</t>
  </si>
  <si>
    <t xml:space="preserve">46 62 57 </t>
  </si>
  <si>
    <t>60 63</t>
  </si>
  <si>
    <t>67(2) 16</t>
  </si>
  <si>
    <t>76(2) 61</t>
  </si>
  <si>
    <t>61 61</t>
  </si>
  <si>
    <t>64 64</t>
  </si>
  <si>
    <t xml:space="preserve">06 16 </t>
  </si>
  <si>
    <t>46 63 46</t>
  </si>
  <si>
    <t>61 63</t>
  </si>
  <si>
    <t>16 16</t>
  </si>
  <si>
    <t>57 06</t>
  </si>
  <si>
    <t>60 62</t>
  </si>
  <si>
    <t>64 60</t>
  </si>
  <si>
    <t>36 46</t>
  </si>
  <si>
    <t>62 61</t>
  </si>
  <si>
    <t>w.o.</t>
  </si>
  <si>
    <t>o.w.</t>
  </si>
  <si>
    <t>63 62</t>
  </si>
  <si>
    <t>26 26</t>
  </si>
  <si>
    <t>26 64 06</t>
  </si>
  <si>
    <t>26 62 36</t>
  </si>
  <si>
    <t>60 46 36</t>
  </si>
  <si>
    <t>06 16</t>
  </si>
  <si>
    <t xml:space="preserve"> 2/1</t>
  </si>
  <si>
    <t>61 26 57</t>
  </si>
  <si>
    <t>16 63 62</t>
  </si>
  <si>
    <t>26 16</t>
  </si>
  <si>
    <t>62 63</t>
  </si>
  <si>
    <t>64 46 64</t>
  </si>
  <si>
    <t>57 36</t>
  </si>
  <si>
    <t>46 16</t>
  </si>
  <si>
    <t>Viktor BOBAN (MDV)</t>
  </si>
  <si>
    <t>Luka DOŠEN (VUL)</t>
  </si>
  <si>
    <t>Lovro MAJCAN (SAM)</t>
  </si>
  <si>
    <t>Erik NIKOLIĆ (ZGI)</t>
  </si>
  <si>
    <t>Dorian SALOPEK (OG)</t>
  </si>
  <si>
    <t>Daniel ŠKREB (VUL)</t>
  </si>
  <si>
    <t>Noa VUKADIN (VUL)</t>
  </si>
  <si>
    <t>57 61 57</t>
  </si>
  <si>
    <t>44</t>
  </si>
  <si>
    <t>27</t>
  </si>
  <si>
    <t>RR/44</t>
  </si>
  <si>
    <t>RR/28</t>
  </si>
  <si>
    <t>48</t>
  </si>
  <si>
    <t>24.04.2016./8:40 h</t>
  </si>
  <si>
    <t xml:space="preserve">NR </t>
  </si>
  <si>
    <t>KRŽIĆ Filip</t>
  </si>
  <si>
    <t>32</t>
  </si>
  <si>
    <t>9</t>
  </si>
  <si>
    <t>AS</t>
  </si>
  <si>
    <t>bs</t>
  </si>
  <si>
    <t>63 60</t>
  </si>
  <si>
    <t>as</t>
  </si>
  <si>
    <t>62 60</t>
  </si>
  <si>
    <t>60 64</t>
  </si>
  <si>
    <t>24</t>
  </si>
  <si>
    <t>24.4.2016./12:15 h</t>
  </si>
  <si>
    <t xml:space="preserve">B. BENČEC / </t>
  </si>
  <si>
    <t xml:space="preserve"> / Vilim KARAČIĆ</t>
  </si>
  <si>
    <t xml:space="preserve">Viktor BOBAN / </t>
  </si>
  <si>
    <t xml:space="preserve"> / A. VOLJAVEC</t>
  </si>
  <si>
    <t xml:space="preserve">Josip BOBOK / </t>
  </si>
  <si>
    <t xml:space="preserve"> / Karlo NOTHIG</t>
  </si>
  <si>
    <t xml:space="preserve">Marko BRADVIĆ / </t>
  </si>
  <si>
    <t xml:space="preserve"> / D. SALOPEK</t>
  </si>
  <si>
    <t xml:space="preserve">Vito CEREZIN / </t>
  </si>
  <si>
    <t xml:space="preserve"> / Noa VIDUKA</t>
  </si>
  <si>
    <t xml:space="preserve">Luka DOŠEN / </t>
  </si>
  <si>
    <t xml:space="preserve"> / Daniel ŠKREB</t>
  </si>
  <si>
    <t xml:space="preserve">Ivor DRAŽIĆ / </t>
  </si>
  <si>
    <t xml:space="preserve"> / P. SEVEROVIĆ</t>
  </si>
  <si>
    <t xml:space="preserve">F. DUBOVEČAK / </t>
  </si>
  <si>
    <t xml:space="preserve"> / M. HORVATIĆ</t>
  </si>
  <si>
    <t xml:space="preserve">L. KRSTANOVIĆ / </t>
  </si>
  <si>
    <t xml:space="preserve"> / Hrvoje MARIĆ</t>
  </si>
  <si>
    <t xml:space="preserve">Tin KRŽIĆ / </t>
  </si>
  <si>
    <t xml:space="preserve"> / Erik NIKOLIĆ</t>
  </si>
  <si>
    <t xml:space="preserve">Lovro MAJCAN / </t>
  </si>
  <si>
    <t xml:space="preserve"> / Noa VUKADIN</t>
  </si>
  <si>
    <t xml:space="preserve">Vid MARIĆ / </t>
  </si>
  <si>
    <t xml:space="preserve"> / D. ŠTABEK</t>
  </si>
  <si>
    <t xml:space="preserve">M. SCHNEIDER / </t>
  </si>
  <si>
    <t xml:space="preserve"> / L. ŠANTIĆ</t>
  </si>
  <si>
    <t>NR/NR</t>
  </si>
  <si>
    <t>BRADVIĆ M./SALOPEK D.</t>
  </si>
  <si>
    <t xml:space="preserve"> 17/30</t>
  </si>
  <si>
    <t>A</t>
  </si>
  <si>
    <t>76(5) 16 63</t>
  </si>
  <si>
    <t>13</t>
  </si>
  <si>
    <t>13/9</t>
  </si>
  <si>
    <t>57/NR</t>
  </si>
  <si>
    <t>9/27</t>
  </si>
  <si>
    <t>22.04.2016.</t>
  </si>
  <si>
    <t>23.04.2016.</t>
  </si>
  <si>
    <t>BS</t>
  </si>
  <si>
    <t>62 62</t>
  </si>
  <si>
    <t xml:space="preserve">26 64 62 </t>
  </si>
  <si>
    <t>75 60</t>
  </si>
  <si>
    <t>61 64</t>
  </si>
  <si>
    <t xml:space="preserve">62 62 </t>
  </si>
  <si>
    <t>Maks Zvonimir</t>
  </si>
  <si>
    <t>3-0</t>
  </si>
  <si>
    <t>2-1</t>
  </si>
  <si>
    <t>1-2</t>
  </si>
  <si>
    <t>0-3</t>
  </si>
  <si>
    <t>poraz</t>
  </si>
  <si>
    <t>Bye</t>
  </si>
  <si>
    <t>76(4) 46 10-5</t>
  </si>
  <si>
    <t xml:space="preserve">36 62 12-10 </t>
  </si>
  <si>
    <t>R12_20160422_SAM</t>
  </si>
  <si>
    <t>01.04.2016.</t>
  </si>
  <si>
    <t>4. rang</t>
  </si>
  <si>
    <t>(22.)24.-26.04.2016.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</si>
</sst>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d/mmm/yyyy/"/>
    <numFmt numFmtId="165" formatCode="dd/mmmm\ yyyy/\ \/\ hh:mm"/>
    <numFmt numFmtId="166" formatCode="#,##0\ &quot;kn&quot;"/>
    <numFmt numFmtId="167" formatCode="dd/mmmm/yyyy/"/>
    <numFmt numFmtId="168" formatCode="dd/mm/yyyy/"/>
  </numFmts>
  <fonts count="61" x14ac:knownFonts="1">
    <font>
      <sz val="10"/>
      <name val="Arial"/>
      <charset val="238"/>
    </font>
    <font>
      <sz val="10"/>
      <name val="Arial"/>
      <family val="2"/>
      <charset val="238"/>
    </font>
    <font>
      <b/>
      <sz val="16"/>
      <name val="Verdana"/>
      <family val="2"/>
      <charset val="238"/>
    </font>
    <font>
      <b/>
      <sz val="18"/>
      <name val="Verdana"/>
      <family val="2"/>
      <charset val="238"/>
    </font>
    <font>
      <sz val="10"/>
      <name val="Verdana"/>
      <family val="2"/>
      <charset val="238"/>
    </font>
    <font>
      <b/>
      <i/>
      <sz val="12"/>
      <name val="Verdana"/>
      <family val="2"/>
      <charset val="238"/>
    </font>
    <font>
      <sz val="11"/>
      <name val="Verdana"/>
      <family val="2"/>
      <charset val="238"/>
    </font>
    <font>
      <b/>
      <sz val="8"/>
      <name val="Verdana"/>
      <family val="2"/>
      <charset val="238"/>
    </font>
    <font>
      <b/>
      <sz val="10"/>
      <color indexed="10"/>
      <name val="Verdana"/>
      <family val="2"/>
      <charset val="238"/>
    </font>
    <font>
      <sz val="8"/>
      <name val="Verdana"/>
      <family val="2"/>
      <charset val="238"/>
    </font>
    <font>
      <b/>
      <sz val="9"/>
      <name val="Verdana"/>
      <family val="2"/>
      <charset val="238"/>
    </font>
    <font>
      <sz val="6"/>
      <name val="Verdana"/>
      <family val="2"/>
      <charset val="238"/>
    </font>
    <font>
      <b/>
      <sz val="10"/>
      <name val="Verdana"/>
      <family val="2"/>
      <charset val="238"/>
    </font>
    <font>
      <sz val="7"/>
      <name val="Verdana"/>
      <family val="2"/>
      <charset val="238"/>
    </font>
    <font>
      <b/>
      <sz val="20"/>
      <name val="Verdana"/>
      <family val="2"/>
      <charset val="238"/>
    </font>
    <font>
      <sz val="18"/>
      <name val="Verdana"/>
      <family val="2"/>
      <charset val="238"/>
    </font>
    <font>
      <sz val="8"/>
      <name val="Arial"/>
      <family val="2"/>
      <charset val="238"/>
    </font>
    <font>
      <b/>
      <sz val="12"/>
      <color indexed="10"/>
      <name val="Verdana"/>
      <family val="2"/>
      <charset val="238"/>
    </font>
    <font>
      <b/>
      <sz val="12"/>
      <name val="Verdana"/>
      <family val="2"/>
      <charset val="238"/>
    </font>
    <font>
      <sz val="9"/>
      <name val="Verdana"/>
      <family val="2"/>
      <charset val="238"/>
    </font>
    <font>
      <b/>
      <sz val="8"/>
      <color indexed="12"/>
      <name val="Verdana"/>
      <family val="2"/>
      <charset val="238"/>
    </font>
    <font>
      <b/>
      <sz val="8"/>
      <color indexed="10"/>
      <name val="Verdana"/>
      <family val="2"/>
      <charset val="238"/>
    </font>
    <font>
      <b/>
      <sz val="10"/>
      <name val="Arial"/>
      <family val="2"/>
      <charset val="238"/>
    </font>
    <font>
      <b/>
      <sz val="8"/>
      <color indexed="81"/>
      <name val="Tahoma"/>
      <family val="2"/>
      <charset val="238"/>
    </font>
    <font>
      <b/>
      <i/>
      <sz val="8"/>
      <name val="Verdana"/>
      <family val="2"/>
      <charset val="238"/>
    </font>
    <font>
      <b/>
      <sz val="7"/>
      <name val="Verdana"/>
      <family val="2"/>
      <charset val="238"/>
    </font>
    <font>
      <sz val="8"/>
      <color indexed="8"/>
      <name val="Verdana"/>
      <family val="2"/>
      <charset val="238"/>
    </font>
    <font>
      <b/>
      <sz val="8"/>
      <color indexed="8"/>
      <name val="Verdana"/>
      <family val="2"/>
      <charset val="238"/>
    </font>
    <font>
      <i/>
      <sz val="7"/>
      <name val="Verdana"/>
      <family val="2"/>
      <charset val="238"/>
    </font>
    <font>
      <b/>
      <sz val="9"/>
      <color indexed="8"/>
      <name val="Verdana"/>
      <family val="2"/>
      <charset val="238"/>
    </font>
    <font>
      <sz val="9"/>
      <color indexed="8"/>
      <name val="Verdana"/>
      <family val="2"/>
      <charset val="238"/>
    </font>
    <font>
      <sz val="8"/>
      <color indexed="81"/>
      <name val="Tahoma"/>
      <family val="2"/>
      <charset val="238"/>
    </font>
    <font>
      <sz val="10"/>
      <color indexed="9"/>
      <name val="Verdana"/>
      <family val="2"/>
      <charset val="238"/>
    </font>
    <font>
      <sz val="6"/>
      <color indexed="9"/>
      <name val="Verdana"/>
      <family val="2"/>
      <charset val="238"/>
    </font>
    <font>
      <b/>
      <i/>
      <sz val="8"/>
      <color indexed="10"/>
      <name val="Arial"/>
      <family val="2"/>
      <charset val="238"/>
    </font>
    <font>
      <i/>
      <sz val="8"/>
      <color indexed="10"/>
      <name val="Arial"/>
      <family val="2"/>
      <charset val="238"/>
    </font>
    <font>
      <i/>
      <sz val="8"/>
      <name val="Verdana"/>
      <family val="2"/>
      <charset val="238"/>
    </font>
    <font>
      <b/>
      <sz val="6"/>
      <name val="Verdana"/>
      <family val="2"/>
      <charset val="238"/>
    </font>
    <font>
      <sz val="8"/>
      <color indexed="9"/>
      <name val="Verdana"/>
      <family val="2"/>
      <charset val="238"/>
    </font>
    <font>
      <sz val="7"/>
      <color indexed="9"/>
      <name val="Verdana"/>
      <family val="2"/>
      <charset val="238"/>
    </font>
    <font>
      <sz val="16"/>
      <name val="Verdana"/>
      <family val="2"/>
      <charset val="238"/>
    </font>
    <font>
      <b/>
      <sz val="7.5"/>
      <name val="Verdana"/>
      <family val="2"/>
      <charset val="238"/>
    </font>
    <font>
      <b/>
      <sz val="14"/>
      <name val="Verdana"/>
      <family val="2"/>
      <charset val="238"/>
    </font>
    <font>
      <b/>
      <sz val="10"/>
      <color indexed="8"/>
      <name val="Verdana"/>
      <family val="2"/>
      <charset val="238"/>
    </font>
    <font>
      <sz val="10"/>
      <color indexed="8"/>
      <name val="Verdana"/>
      <family val="2"/>
      <charset val="238"/>
    </font>
    <font>
      <sz val="7"/>
      <color indexed="8"/>
      <name val="Verdana"/>
      <family val="2"/>
      <charset val="238"/>
    </font>
    <font>
      <i/>
      <sz val="10"/>
      <name val="Verdana"/>
      <family val="2"/>
      <charset val="238"/>
    </font>
    <font>
      <sz val="14"/>
      <name val="Verdana"/>
      <family val="2"/>
      <charset val="238"/>
    </font>
    <font>
      <sz val="12"/>
      <name val="Verdana"/>
      <family val="2"/>
      <charset val="238"/>
    </font>
    <font>
      <b/>
      <sz val="8"/>
      <color indexed="10"/>
      <name val="Tahoma"/>
      <family val="2"/>
      <charset val="238"/>
    </font>
    <font>
      <b/>
      <i/>
      <sz val="11"/>
      <color indexed="10"/>
      <name val="Verdana"/>
      <family val="2"/>
      <charset val="238"/>
    </font>
    <font>
      <b/>
      <i/>
      <sz val="10"/>
      <color indexed="10"/>
      <name val="Verdana"/>
      <family val="2"/>
      <charset val="238"/>
    </font>
    <font>
      <b/>
      <i/>
      <sz val="10"/>
      <name val="Verdana"/>
      <family val="2"/>
      <charset val="238"/>
    </font>
    <font>
      <b/>
      <sz val="20"/>
      <color indexed="10"/>
      <name val="Verdana"/>
      <family val="2"/>
      <charset val="238"/>
    </font>
    <font>
      <i/>
      <sz val="14"/>
      <color indexed="12"/>
      <name val="Verdana"/>
      <family val="2"/>
      <charset val="238"/>
    </font>
    <font>
      <i/>
      <sz val="14"/>
      <color indexed="10"/>
      <name val="Verdana"/>
      <family val="2"/>
      <charset val="238"/>
    </font>
    <font>
      <sz val="10"/>
      <color indexed="12"/>
      <name val="Verdana"/>
      <family val="2"/>
      <charset val="238"/>
    </font>
    <font>
      <i/>
      <sz val="6"/>
      <color indexed="22"/>
      <name val="Verdana"/>
      <family val="2"/>
      <charset val="238"/>
    </font>
    <font>
      <b/>
      <u/>
      <sz val="14"/>
      <name val="Verdana"/>
      <family val="2"/>
      <charset val="238"/>
    </font>
    <font>
      <b/>
      <sz val="6"/>
      <color indexed="12"/>
      <name val="Verdana"/>
      <family val="2"/>
      <charset val="238"/>
    </font>
    <font>
      <sz val="8"/>
      <name val="Tahoma"/>
      <family val="2"/>
      <charset val="238"/>
    </font>
  </fonts>
  <fills count="9">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9"/>
        <bgColor indexed="11"/>
      </patternFill>
    </fill>
    <fill>
      <patternFill patternType="solid">
        <fgColor indexed="19"/>
        <bgColor indexed="64"/>
      </patternFill>
    </fill>
    <fill>
      <patternFill patternType="gray0625"/>
    </fill>
    <fill>
      <patternFill patternType="solid">
        <fgColor indexed="43"/>
        <bgColor indexed="64"/>
      </patternFill>
    </fill>
    <fill>
      <patternFill patternType="solid">
        <fgColor indexed="63"/>
        <bgColor indexed="64"/>
      </patternFill>
    </fill>
  </fills>
  <borders count="77">
    <border>
      <left/>
      <right/>
      <top/>
      <bottom/>
      <diagonal/>
    </border>
    <border>
      <left/>
      <right/>
      <top style="medium">
        <color indexed="64"/>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n">
        <color indexed="8"/>
      </bottom>
      <diagonal/>
    </border>
    <border>
      <left/>
      <right/>
      <top style="thin">
        <color indexed="8"/>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8"/>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style="thin">
        <color indexed="64"/>
      </right>
      <top style="medium">
        <color indexed="64"/>
      </top>
      <bottom/>
      <diagonal/>
    </border>
    <border>
      <left/>
      <right style="double">
        <color indexed="64"/>
      </right>
      <top style="medium">
        <color indexed="64"/>
      </top>
      <bottom/>
      <diagonal/>
    </border>
    <border>
      <left style="thin">
        <color indexed="64"/>
      </left>
      <right style="thin">
        <color indexed="64"/>
      </right>
      <top/>
      <bottom style="medium">
        <color indexed="64"/>
      </bottom>
      <diagonal/>
    </border>
    <border>
      <left style="thin">
        <color indexed="64"/>
      </left>
      <right style="double">
        <color indexed="64"/>
      </right>
      <top style="thin">
        <color indexed="64"/>
      </top>
      <bottom style="medium">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right style="medium">
        <color indexed="64"/>
      </right>
      <top style="thin">
        <color indexed="64"/>
      </top>
      <bottom style="thin">
        <color indexed="64"/>
      </bottom>
      <diagonal/>
    </border>
    <border>
      <left style="double">
        <color indexed="64"/>
      </left>
      <right/>
      <top style="medium">
        <color indexed="64"/>
      </top>
      <bottom/>
      <diagonal/>
    </border>
    <border>
      <left style="medium">
        <color indexed="64"/>
      </left>
      <right/>
      <top style="thin">
        <color indexed="64"/>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style="thin">
        <color indexed="8"/>
      </right>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top style="medium">
        <color indexed="64"/>
      </top>
      <bottom style="thin">
        <color indexed="64"/>
      </bottom>
      <diagonal/>
    </border>
    <border>
      <left/>
      <right style="thin">
        <color indexed="8"/>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right style="thin">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8"/>
      </left>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0" fontId="1" fillId="0" borderId="0"/>
  </cellStyleXfs>
  <cellXfs count="668">
    <xf numFmtId="0" fontId="0" fillId="0" borderId="0" xfId="0"/>
    <xf numFmtId="0" fontId="4" fillId="0" borderId="0" xfId="0" applyFont="1"/>
    <xf numFmtId="0" fontId="4" fillId="2" borderId="0" xfId="0" applyFont="1" applyFill="1" applyAlignment="1" applyProtection="1">
      <alignment vertical="center"/>
      <protection hidden="1"/>
    </xf>
    <xf numFmtId="0" fontId="14" fillId="2" borderId="0" xfId="0" applyFont="1" applyFill="1" applyAlignment="1" applyProtection="1">
      <alignment horizontal="center" vertical="center"/>
      <protection hidden="1"/>
    </xf>
    <xf numFmtId="0" fontId="4" fillId="0" borderId="0" xfId="0" applyFont="1" applyAlignment="1" applyProtection="1">
      <alignment vertical="center"/>
      <protection hidden="1"/>
    </xf>
    <xf numFmtId="0" fontId="4" fillId="3" borderId="1" xfId="0" applyFont="1" applyFill="1" applyBorder="1" applyAlignment="1" applyProtection="1">
      <alignment vertical="center"/>
      <protection hidden="1"/>
    </xf>
    <xf numFmtId="0" fontId="17" fillId="3" borderId="1" xfId="0" applyFont="1" applyFill="1" applyBorder="1" applyAlignment="1" applyProtection="1">
      <alignment horizontal="center" vertical="center"/>
      <protection hidden="1"/>
    </xf>
    <xf numFmtId="0" fontId="7" fillId="2" borderId="0" xfId="0" applyFont="1" applyFill="1" applyAlignment="1" applyProtection="1">
      <alignment horizontal="right" vertical="center"/>
      <protection hidden="1"/>
    </xf>
    <xf numFmtId="0" fontId="9" fillId="2" borderId="0" xfId="0" applyFont="1" applyFill="1" applyAlignment="1" applyProtection="1">
      <alignment vertical="center"/>
      <protection hidden="1"/>
    </xf>
    <xf numFmtId="0" fontId="2" fillId="2" borderId="0" xfId="0" applyFont="1" applyFill="1" applyAlignment="1" applyProtection="1">
      <alignment vertical="center"/>
      <protection hidden="1"/>
    </xf>
    <xf numFmtId="0" fontId="15" fillId="2" borderId="0" xfId="0" applyFont="1" applyFill="1" applyAlignment="1" applyProtection="1">
      <alignment horizontal="right" vertical="center"/>
      <protection hidden="1"/>
    </xf>
    <xf numFmtId="0" fontId="2" fillId="0" borderId="0" xfId="0" applyFont="1" applyProtection="1">
      <protection hidden="1"/>
    </xf>
    <xf numFmtId="0" fontId="3" fillId="0" borderId="0" xfId="0" applyFont="1" applyProtection="1">
      <protection hidden="1"/>
    </xf>
    <xf numFmtId="0" fontId="4" fillId="0" borderId="0" xfId="0" applyFont="1" applyAlignment="1" applyProtection="1">
      <alignment wrapText="1"/>
      <protection hidden="1"/>
    </xf>
    <xf numFmtId="0" fontId="4" fillId="0" borderId="0" xfId="0" applyFont="1" applyProtection="1">
      <protection hidden="1"/>
    </xf>
    <xf numFmtId="0" fontId="6" fillId="0" borderId="0" xfId="0" applyFont="1" applyAlignment="1" applyProtection="1">
      <alignment horizontal="center"/>
      <protection hidden="1"/>
    </xf>
    <xf numFmtId="0" fontId="7" fillId="0" borderId="0" xfId="0" applyFont="1" applyAlignment="1" applyProtection="1">
      <alignment horizontal="center"/>
      <protection hidden="1"/>
    </xf>
    <xf numFmtId="0" fontId="4" fillId="0" borderId="0" xfId="0" applyFont="1" applyAlignment="1" applyProtection="1">
      <alignment horizontal="center" wrapText="1"/>
      <protection hidden="1"/>
    </xf>
    <xf numFmtId="0" fontId="8" fillId="0" borderId="0" xfId="0" applyFont="1" applyAlignment="1" applyProtection="1">
      <alignment horizontal="center" wrapText="1"/>
      <protection hidden="1"/>
    </xf>
    <xf numFmtId="0" fontId="9" fillId="0" borderId="0" xfId="0" applyFont="1" applyProtection="1">
      <protection hidden="1"/>
    </xf>
    <xf numFmtId="49" fontId="9" fillId="0" borderId="2" xfId="0" applyNumberFormat="1" applyFont="1" applyBorder="1" applyAlignment="1" applyProtection="1">
      <alignment horizontal="center"/>
      <protection hidden="1"/>
    </xf>
    <xf numFmtId="49" fontId="11" fillId="0" borderId="2" xfId="0" applyNumberFormat="1" applyFont="1" applyBorder="1" applyAlignment="1" applyProtection="1">
      <alignment horizontal="center"/>
      <protection hidden="1"/>
    </xf>
    <xf numFmtId="0" fontId="4" fillId="0" borderId="3" xfId="0" applyFont="1" applyBorder="1" applyAlignment="1" applyProtection="1">
      <alignment wrapText="1"/>
      <protection hidden="1"/>
    </xf>
    <xf numFmtId="0" fontId="4" fillId="0" borderId="0" xfId="0" applyFont="1" applyAlignment="1" applyProtection="1">
      <alignment horizontal="center"/>
      <protection hidden="1"/>
    </xf>
    <xf numFmtId="0" fontId="4" fillId="0" borderId="4" xfId="0" applyFont="1" applyBorder="1" applyAlignment="1" applyProtection="1">
      <alignment horizontal="center"/>
      <protection hidden="1"/>
    </xf>
    <xf numFmtId="0" fontId="4" fillId="0" borderId="0" xfId="0" applyFont="1" applyBorder="1" applyAlignment="1" applyProtection="1">
      <protection hidden="1"/>
    </xf>
    <xf numFmtId="0" fontId="4" fillId="0" borderId="0" xfId="0" applyFont="1" applyAlignment="1" applyProtection="1">
      <protection hidden="1"/>
    </xf>
    <xf numFmtId="0" fontId="9" fillId="0" borderId="5" xfId="0" applyFont="1" applyBorder="1" applyAlignment="1" applyProtection="1">
      <alignment horizontal="center"/>
      <protection hidden="1"/>
    </xf>
    <xf numFmtId="0" fontId="4" fillId="0" borderId="6" xfId="0" applyFont="1" applyBorder="1" applyAlignment="1" applyProtection="1">
      <alignment horizontal="center"/>
      <protection hidden="1"/>
    </xf>
    <xf numFmtId="0" fontId="4" fillId="0" borderId="0" xfId="0" applyFont="1" applyBorder="1" applyAlignment="1" applyProtection="1">
      <alignment horizontal="left"/>
      <protection hidden="1"/>
    </xf>
    <xf numFmtId="0" fontId="9" fillId="0" borderId="0" xfId="0" applyFont="1" applyBorder="1" applyAlignment="1" applyProtection="1">
      <alignment horizontal="center"/>
      <protection hidden="1"/>
    </xf>
    <xf numFmtId="0" fontId="4" fillId="0" borderId="7" xfId="0" applyFont="1" applyBorder="1" applyAlignment="1" applyProtection="1">
      <alignment horizontal="center"/>
      <protection hidden="1"/>
    </xf>
    <xf numFmtId="0" fontId="4" fillId="0" borderId="8" xfId="0" applyFont="1" applyBorder="1" applyAlignment="1" applyProtection="1">
      <protection hidden="1"/>
    </xf>
    <xf numFmtId="0" fontId="4" fillId="0" borderId="9" xfId="0" applyFont="1" applyBorder="1" applyAlignment="1" applyProtection="1">
      <protection hidden="1"/>
    </xf>
    <xf numFmtId="0" fontId="4" fillId="0" borderId="10" xfId="0" applyFont="1" applyBorder="1" applyAlignment="1" applyProtection="1">
      <protection hidden="1"/>
    </xf>
    <xf numFmtId="0" fontId="4" fillId="0" borderId="11" xfId="0" applyFont="1" applyBorder="1" applyAlignment="1" applyProtection="1">
      <protection hidden="1"/>
    </xf>
    <xf numFmtId="0" fontId="4" fillId="0" borderId="12" xfId="0" applyFont="1" applyBorder="1" applyAlignment="1" applyProtection="1">
      <alignment horizontal="center"/>
      <protection hidden="1"/>
    </xf>
    <xf numFmtId="0" fontId="7" fillId="0" borderId="0" xfId="0" applyFont="1" applyAlignment="1" applyProtection="1">
      <alignment horizontal="right"/>
      <protection hidden="1"/>
    </xf>
    <xf numFmtId="0" fontId="9" fillId="0" borderId="0" xfId="0" applyFont="1" applyBorder="1" applyProtection="1">
      <protection hidden="1"/>
    </xf>
    <xf numFmtId="0" fontId="5" fillId="0" borderId="0" xfId="0" applyFont="1" applyProtection="1">
      <protection hidden="1"/>
    </xf>
    <xf numFmtId="0" fontId="13" fillId="0" borderId="0" xfId="0" applyFont="1" applyProtection="1">
      <protection hidden="1"/>
    </xf>
    <xf numFmtId="0" fontId="13" fillId="0" borderId="0" xfId="0" applyFont="1" applyAlignment="1" applyProtection="1">
      <alignment horizontal="right"/>
      <protection hidden="1"/>
    </xf>
    <xf numFmtId="0" fontId="7" fillId="0" borderId="0" xfId="0" applyFont="1" applyBorder="1" applyProtection="1">
      <protection hidden="1"/>
    </xf>
    <xf numFmtId="0" fontId="7" fillId="0" borderId="0" xfId="0" applyFont="1" applyBorder="1" applyAlignment="1" applyProtection="1">
      <alignment horizontal="right"/>
      <protection hidden="1"/>
    </xf>
    <xf numFmtId="0" fontId="25" fillId="0" borderId="13" xfId="0" applyFont="1" applyBorder="1" applyProtection="1">
      <protection hidden="1"/>
    </xf>
    <xf numFmtId="0" fontId="25" fillId="0" borderId="14" xfId="0" applyFont="1" applyBorder="1" applyProtection="1">
      <protection hidden="1"/>
    </xf>
    <xf numFmtId="0" fontId="13" fillId="0" borderId="15" xfId="0" applyFont="1" applyBorder="1" applyProtection="1">
      <protection hidden="1"/>
    </xf>
    <xf numFmtId="0" fontId="25" fillId="0" borderId="14" xfId="0" applyFont="1" applyBorder="1" applyAlignment="1" applyProtection="1">
      <alignment horizontal="center"/>
      <protection hidden="1"/>
    </xf>
    <xf numFmtId="0" fontId="13" fillId="0" borderId="14" xfId="0" applyFont="1" applyBorder="1" applyProtection="1">
      <protection hidden="1"/>
    </xf>
    <xf numFmtId="0" fontId="25" fillId="0" borderId="13" xfId="0" applyFont="1" applyBorder="1" applyAlignment="1" applyProtection="1">
      <alignment horizontal="center"/>
      <protection hidden="1"/>
    </xf>
    <xf numFmtId="0" fontId="13" fillId="0" borderId="14" xfId="0" applyFont="1" applyBorder="1" applyAlignment="1" applyProtection="1">
      <alignment wrapText="1"/>
      <protection hidden="1"/>
    </xf>
    <xf numFmtId="0" fontId="13" fillId="0" borderId="16" xfId="0" applyFont="1" applyBorder="1" applyProtection="1">
      <protection hidden="1"/>
    </xf>
    <xf numFmtId="0" fontId="13" fillId="0" borderId="10" xfId="0" applyFont="1" applyBorder="1" applyProtection="1">
      <protection hidden="1"/>
    </xf>
    <xf numFmtId="16" fontId="13" fillId="0" borderId="9" xfId="0" applyNumberFormat="1" applyFont="1" applyBorder="1" applyProtection="1">
      <protection hidden="1"/>
    </xf>
    <xf numFmtId="0" fontId="13" fillId="0" borderId="0" xfId="0" applyFont="1" applyAlignment="1" applyProtection="1">
      <alignment horizontal="center"/>
      <protection hidden="1"/>
    </xf>
    <xf numFmtId="0" fontId="13" fillId="0" borderId="0" xfId="0" applyFont="1" applyAlignment="1" applyProtection="1">
      <alignment wrapText="1"/>
      <protection hidden="1"/>
    </xf>
    <xf numFmtId="0" fontId="13" fillId="0" borderId="9" xfId="0" applyFont="1" applyBorder="1" applyProtection="1">
      <protection hidden="1"/>
    </xf>
    <xf numFmtId="0" fontId="13" fillId="0" borderId="17" xfId="0" applyFont="1" applyBorder="1" applyAlignment="1" applyProtection="1">
      <alignment horizontal="center"/>
      <protection hidden="1"/>
    </xf>
    <xf numFmtId="0" fontId="13" fillId="0" borderId="0" xfId="0" applyFont="1" applyBorder="1" applyProtection="1">
      <protection hidden="1"/>
    </xf>
    <xf numFmtId="0" fontId="25" fillId="0" borderId="16" xfId="0" applyFont="1" applyBorder="1" applyProtection="1">
      <protection hidden="1"/>
    </xf>
    <xf numFmtId="0" fontId="13" fillId="0" borderId="8" xfId="0" applyFont="1" applyBorder="1" applyProtection="1">
      <protection hidden="1"/>
    </xf>
    <xf numFmtId="0" fontId="13" fillId="0" borderId="18" xfId="0" applyFont="1" applyBorder="1" applyProtection="1">
      <protection hidden="1"/>
    </xf>
    <xf numFmtId="0" fontId="13" fillId="0" borderId="5" xfId="0" applyFont="1" applyBorder="1" applyProtection="1">
      <protection hidden="1"/>
    </xf>
    <xf numFmtId="0" fontId="13" fillId="0" borderId="11" xfId="0" applyFont="1" applyBorder="1" applyProtection="1">
      <protection hidden="1"/>
    </xf>
    <xf numFmtId="0" fontId="13" fillId="0" borderId="17" xfId="0" applyFont="1" applyBorder="1" applyProtection="1">
      <protection hidden="1"/>
    </xf>
    <xf numFmtId="0" fontId="13" fillId="0" borderId="9" xfId="0" applyFont="1" applyBorder="1" applyAlignment="1" applyProtection="1">
      <alignment horizontal="right"/>
      <protection hidden="1"/>
    </xf>
    <xf numFmtId="0" fontId="25" fillId="0" borderId="16" xfId="0" applyFont="1" applyBorder="1" applyAlignment="1" applyProtection="1">
      <alignment horizontal="left"/>
      <protection hidden="1"/>
    </xf>
    <xf numFmtId="0" fontId="13" fillId="0" borderId="10" xfId="0" applyFont="1" applyBorder="1" applyAlignment="1" applyProtection="1">
      <alignment wrapText="1"/>
      <protection hidden="1"/>
    </xf>
    <xf numFmtId="0" fontId="13" fillId="0" borderId="17" xfId="0" applyFont="1" applyBorder="1" applyAlignment="1" applyProtection="1">
      <alignment horizontal="left"/>
      <protection hidden="1"/>
    </xf>
    <xf numFmtId="0" fontId="13" fillId="0" borderId="5" xfId="0" applyFont="1" applyBorder="1" applyAlignment="1" applyProtection="1">
      <alignment horizontal="center"/>
      <protection hidden="1"/>
    </xf>
    <xf numFmtId="0" fontId="13" fillId="0" borderId="5" xfId="0" applyFont="1" applyBorder="1" applyAlignment="1" applyProtection="1">
      <alignment wrapText="1"/>
      <protection hidden="1"/>
    </xf>
    <xf numFmtId="0" fontId="13" fillId="0" borderId="18" xfId="0" applyFont="1" applyBorder="1" applyAlignment="1" applyProtection="1">
      <alignment horizontal="left"/>
      <protection hidden="1"/>
    </xf>
    <xf numFmtId="0" fontId="10" fillId="0" borderId="19" xfId="0" applyFont="1" applyBorder="1" applyProtection="1">
      <protection hidden="1"/>
    </xf>
    <xf numFmtId="0" fontId="12" fillId="0" borderId="0" xfId="0" applyFont="1" applyAlignment="1" applyProtection="1">
      <alignment horizontal="center"/>
      <protection hidden="1"/>
    </xf>
    <xf numFmtId="0" fontId="13" fillId="0" borderId="20" xfId="0" applyFont="1" applyBorder="1" applyProtection="1">
      <protection hidden="1"/>
    </xf>
    <xf numFmtId="0" fontId="7" fillId="0" borderId="22" xfId="0" applyFont="1" applyBorder="1" applyAlignment="1" applyProtection="1">
      <alignment horizontal="center" vertical="center" wrapText="1"/>
      <protection hidden="1"/>
    </xf>
    <xf numFmtId="0" fontId="28" fillId="0" borderId="0" xfId="0" applyFont="1" applyAlignment="1" applyProtection="1">
      <alignment horizontal="right"/>
      <protection hidden="1"/>
    </xf>
    <xf numFmtId="0" fontId="4" fillId="0" borderId="23" xfId="0" applyFont="1" applyBorder="1" applyProtection="1">
      <protection hidden="1"/>
    </xf>
    <xf numFmtId="0" fontId="4" fillId="0" borderId="24" xfId="0" applyFont="1" applyBorder="1" applyProtection="1">
      <protection hidden="1"/>
    </xf>
    <xf numFmtId="0" fontId="4" fillId="0" borderId="25" xfId="0" applyFont="1" applyBorder="1" applyProtection="1">
      <protection hidden="1"/>
    </xf>
    <xf numFmtId="0" fontId="4" fillId="0" borderId="26" xfId="0" applyFont="1" applyBorder="1" applyProtection="1">
      <protection hidden="1"/>
    </xf>
    <xf numFmtId="0" fontId="9" fillId="0" borderId="27" xfId="0" applyFont="1" applyBorder="1" applyAlignment="1" applyProtection="1">
      <alignment horizontal="center" vertical="center"/>
      <protection hidden="1"/>
    </xf>
    <xf numFmtId="0" fontId="9" fillId="0" borderId="28" xfId="0" applyFont="1" applyBorder="1" applyAlignment="1" applyProtection="1">
      <alignment horizontal="center" vertical="center"/>
      <protection hidden="1"/>
    </xf>
    <xf numFmtId="0" fontId="9" fillId="0" borderId="29" xfId="0" applyFont="1" applyBorder="1" applyAlignment="1" applyProtection="1">
      <alignment horizontal="center" vertical="center"/>
      <protection hidden="1"/>
    </xf>
    <xf numFmtId="49" fontId="4" fillId="0" borderId="0" xfId="0" applyNumberFormat="1" applyFont="1" applyFill="1" applyBorder="1" applyAlignment="1" applyProtection="1">
      <alignment horizontal="center" vertical="center"/>
      <protection hidden="1"/>
    </xf>
    <xf numFmtId="0" fontId="4" fillId="0" borderId="0" xfId="0" applyFont="1" applyAlignment="1" applyProtection="1">
      <alignment horizontal="left" vertical="center"/>
      <protection hidden="1"/>
    </xf>
    <xf numFmtId="0" fontId="4" fillId="0" borderId="0" xfId="0" applyFont="1" applyAlignment="1" applyProtection="1">
      <alignment horizontal="center" vertical="center"/>
      <protection hidden="1"/>
    </xf>
    <xf numFmtId="49" fontId="9" fillId="0" borderId="0" xfId="0" applyNumberFormat="1" applyFont="1" applyFill="1" applyBorder="1" applyAlignment="1" applyProtection="1">
      <alignment horizontal="center" vertical="center"/>
      <protection hidden="1"/>
    </xf>
    <xf numFmtId="0" fontId="9" fillId="0" borderId="0" xfId="0" applyFont="1" applyAlignment="1" applyProtection="1">
      <alignment horizontal="left" vertical="center"/>
      <protection hidden="1"/>
    </xf>
    <xf numFmtId="0" fontId="9" fillId="0" borderId="0" xfId="0" applyFont="1" applyAlignment="1" applyProtection="1">
      <alignment horizontal="center" vertical="center"/>
      <protection hidden="1"/>
    </xf>
    <xf numFmtId="49" fontId="26" fillId="0" borderId="0" xfId="0" applyNumberFormat="1" applyFont="1" applyFill="1" applyBorder="1" applyAlignment="1" applyProtection="1">
      <alignment horizontal="center" vertical="center"/>
      <protection hidden="1"/>
    </xf>
    <xf numFmtId="0" fontId="27" fillId="0" borderId="0" xfId="0" applyNumberFormat="1" applyFont="1" applyFill="1" applyBorder="1" applyAlignment="1" applyProtection="1">
      <alignment horizontal="center" vertical="center"/>
      <protection hidden="1"/>
    </xf>
    <xf numFmtId="0" fontId="9" fillId="0" borderId="0" xfId="0" applyFont="1" applyBorder="1" applyAlignment="1" applyProtection="1">
      <alignment vertical="center"/>
      <protection hidden="1"/>
    </xf>
    <xf numFmtId="0" fontId="9" fillId="0" borderId="0" xfId="0" applyNumberFormat="1" applyFont="1" applyBorder="1" applyAlignment="1" applyProtection="1">
      <alignment horizontal="center" vertical="center"/>
      <protection hidden="1"/>
    </xf>
    <xf numFmtId="0" fontId="9" fillId="0" borderId="20" xfId="0" applyNumberFormat="1" applyFont="1" applyFill="1" applyBorder="1" applyAlignment="1" applyProtection="1">
      <alignment horizontal="center" vertical="center"/>
      <protection hidden="1"/>
    </xf>
    <xf numFmtId="0" fontId="9" fillId="0" borderId="30" xfId="0" applyNumberFormat="1" applyFont="1" applyBorder="1" applyAlignment="1" applyProtection="1">
      <alignment horizontal="center" vertical="center"/>
      <protection hidden="1"/>
    </xf>
    <xf numFmtId="0" fontId="9" fillId="0" borderId="30" xfId="0" applyNumberFormat="1" applyFont="1" applyBorder="1" applyAlignment="1" applyProtection="1">
      <alignment horizontal="left" vertical="center"/>
      <protection hidden="1"/>
    </xf>
    <xf numFmtId="0" fontId="9" fillId="0" borderId="19" xfId="0" applyNumberFormat="1" applyFont="1" applyBorder="1" applyAlignment="1" applyProtection="1">
      <alignment horizontal="center" vertical="center"/>
      <protection hidden="1"/>
    </xf>
    <xf numFmtId="0" fontId="9" fillId="0" borderId="23" xfId="0" applyNumberFormat="1" applyFont="1" applyFill="1" applyBorder="1" applyAlignment="1" applyProtection="1">
      <alignment horizontal="center" vertical="center"/>
      <protection hidden="1"/>
    </xf>
    <xf numFmtId="0" fontId="7" fillId="0" borderId="0" xfId="0" applyNumberFormat="1" applyFont="1" applyBorder="1" applyAlignment="1" applyProtection="1">
      <alignment horizontal="center" vertical="center"/>
      <protection hidden="1"/>
    </xf>
    <xf numFmtId="0" fontId="7" fillId="0" borderId="31" xfId="0" applyNumberFormat="1" applyFont="1" applyBorder="1" applyAlignment="1" applyProtection="1">
      <alignment horizontal="center" vertical="center"/>
      <protection hidden="1"/>
    </xf>
    <xf numFmtId="0" fontId="9" fillId="0" borderId="32" xfId="0" applyNumberFormat="1" applyFont="1" applyBorder="1" applyAlignment="1" applyProtection="1">
      <alignment horizontal="center" vertical="center"/>
      <protection hidden="1"/>
    </xf>
    <xf numFmtId="49" fontId="7" fillId="0" borderId="0" xfId="0" applyNumberFormat="1" applyFont="1" applyBorder="1" applyAlignment="1" applyProtection="1">
      <alignment horizontal="left" vertical="center"/>
      <protection hidden="1"/>
    </xf>
    <xf numFmtId="0" fontId="9" fillId="0" borderId="24" xfId="0" applyFont="1" applyBorder="1" applyAlignment="1" applyProtection="1">
      <alignment horizontal="center"/>
      <protection hidden="1"/>
    </xf>
    <xf numFmtId="0" fontId="9" fillId="0" borderId="25" xfId="0" applyFont="1" applyFill="1" applyBorder="1" applyAlignment="1" applyProtection="1">
      <alignment horizontal="center"/>
      <protection hidden="1"/>
    </xf>
    <xf numFmtId="0" fontId="9" fillId="0" borderId="33" xfId="0" applyFont="1" applyBorder="1" applyAlignment="1" applyProtection="1">
      <alignment horizontal="left" vertical="center"/>
      <protection hidden="1"/>
    </xf>
    <xf numFmtId="49" fontId="9" fillId="0" borderId="33" xfId="0" applyNumberFormat="1" applyFont="1" applyBorder="1" applyAlignment="1" applyProtection="1">
      <alignment horizontal="center"/>
      <protection hidden="1"/>
    </xf>
    <xf numFmtId="49" fontId="9" fillId="0" borderId="26" xfId="0" applyNumberFormat="1" applyFont="1" applyBorder="1" applyAlignment="1" applyProtection="1">
      <alignment horizontal="center"/>
      <protection hidden="1"/>
    </xf>
    <xf numFmtId="0" fontId="4" fillId="0" borderId="34" xfId="0" applyFont="1" applyBorder="1" applyAlignment="1" applyProtection="1">
      <alignment horizontal="center"/>
      <protection hidden="1"/>
    </xf>
    <xf numFmtId="0" fontId="9" fillId="0" borderId="0" xfId="0" applyFont="1" applyFill="1" applyBorder="1" applyAlignment="1" applyProtection="1">
      <alignment horizontal="center"/>
      <protection hidden="1"/>
    </xf>
    <xf numFmtId="0" fontId="9" fillId="0" borderId="35" xfId="0" applyFont="1" applyFill="1" applyBorder="1" applyAlignment="1" applyProtection="1">
      <alignment horizontal="left" shrinkToFit="1"/>
      <protection hidden="1"/>
    </xf>
    <xf numFmtId="0" fontId="4" fillId="0" borderId="35" xfId="0" applyFont="1" applyBorder="1" applyProtection="1">
      <protection hidden="1"/>
    </xf>
    <xf numFmtId="0" fontId="9" fillId="0" borderId="36" xfId="0" applyFont="1" applyFill="1" applyBorder="1" applyAlignment="1" applyProtection="1">
      <alignment horizontal="left" shrinkToFit="1"/>
      <protection hidden="1"/>
    </xf>
    <xf numFmtId="0" fontId="4" fillId="0" borderId="36" xfId="0" applyFont="1" applyBorder="1" applyProtection="1">
      <protection hidden="1"/>
    </xf>
    <xf numFmtId="0" fontId="9" fillId="0" borderId="37" xfId="0" applyFont="1" applyFill="1" applyBorder="1" applyAlignment="1" applyProtection="1">
      <alignment horizontal="left" shrinkToFit="1"/>
      <protection hidden="1"/>
    </xf>
    <xf numFmtId="0" fontId="4" fillId="0" borderId="37" xfId="0" applyFont="1" applyBorder="1" applyProtection="1">
      <protection hidden="1"/>
    </xf>
    <xf numFmtId="0" fontId="19" fillId="0" borderId="0" xfId="0" applyFont="1" applyFill="1" applyBorder="1" applyAlignment="1" applyProtection="1">
      <alignment horizontal="center" vertical="center"/>
      <protection hidden="1"/>
    </xf>
    <xf numFmtId="0" fontId="19" fillId="0" borderId="0" xfId="0" applyFont="1" applyFill="1" applyAlignment="1" applyProtection="1">
      <alignment horizontal="left" vertical="center"/>
      <protection hidden="1"/>
    </xf>
    <xf numFmtId="0" fontId="19" fillId="0" borderId="0" xfId="0" applyFont="1" applyAlignment="1" applyProtection="1">
      <alignment horizontal="center" vertical="center"/>
      <protection hidden="1"/>
    </xf>
    <xf numFmtId="0" fontId="4" fillId="0" borderId="0" xfId="0" applyFont="1" applyAlignment="1" applyProtection="1">
      <alignment horizontal="left"/>
      <protection hidden="1"/>
    </xf>
    <xf numFmtId="0" fontId="28" fillId="0" borderId="0" xfId="0" applyFont="1" applyFill="1" applyAlignment="1" applyProtection="1">
      <alignment horizontal="right"/>
      <protection hidden="1"/>
    </xf>
    <xf numFmtId="0" fontId="4" fillId="0" borderId="5" xfId="0" applyFont="1" applyBorder="1" applyAlignment="1" applyProtection="1">
      <alignment horizontal="center" shrinkToFit="1"/>
      <protection hidden="1"/>
    </xf>
    <xf numFmtId="0" fontId="32" fillId="0" borderId="0" xfId="0" applyFont="1" applyAlignment="1" applyProtection="1">
      <alignment wrapText="1"/>
      <protection hidden="1"/>
    </xf>
    <xf numFmtId="0" fontId="4" fillId="0" borderId="17" xfId="0" applyFont="1" applyBorder="1" applyAlignment="1" applyProtection="1">
      <protection hidden="1"/>
    </xf>
    <xf numFmtId="0" fontId="36" fillId="0" borderId="0" xfId="0" applyFont="1" applyAlignment="1" applyProtection="1">
      <alignment horizontal="right"/>
      <protection hidden="1"/>
    </xf>
    <xf numFmtId="0" fontId="4" fillId="0" borderId="9" xfId="0" applyFont="1" applyBorder="1" applyAlignment="1" applyProtection="1">
      <alignment horizontal="left" wrapText="1"/>
      <protection hidden="1"/>
    </xf>
    <xf numFmtId="0" fontId="7" fillId="0" borderId="5" xfId="0" applyFont="1" applyBorder="1" applyAlignment="1" applyProtection="1">
      <alignment horizontal="center"/>
      <protection hidden="1"/>
    </xf>
    <xf numFmtId="0" fontId="4" fillId="0" borderId="5" xfId="0" applyFont="1" applyBorder="1" applyAlignment="1" applyProtection="1">
      <alignment horizontal="left" shrinkToFit="1"/>
      <protection hidden="1"/>
    </xf>
    <xf numFmtId="0" fontId="4" fillId="0" borderId="21" xfId="0" applyFont="1" applyBorder="1" applyAlignment="1" applyProtection="1">
      <alignment horizontal="left" shrinkToFit="1"/>
      <protection hidden="1"/>
    </xf>
    <xf numFmtId="0" fontId="4" fillId="0" borderId="38" xfId="0" applyFont="1" applyBorder="1" applyAlignment="1" applyProtection="1">
      <alignment horizontal="center" vertical="center"/>
      <protection hidden="1"/>
    </xf>
    <xf numFmtId="0" fontId="9" fillId="0" borderId="3" xfId="0" applyFont="1" applyBorder="1" applyAlignment="1" applyProtection="1">
      <alignment horizontal="center" wrapText="1"/>
      <protection hidden="1"/>
    </xf>
    <xf numFmtId="0" fontId="9" fillId="0" borderId="4" xfId="0" applyFont="1" applyBorder="1" applyAlignment="1" applyProtection="1">
      <alignment horizontal="center"/>
      <protection hidden="1"/>
    </xf>
    <xf numFmtId="0" fontId="9" fillId="0" borderId="4" xfId="0" applyFont="1" applyBorder="1" applyAlignment="1" applyProtection="1">
      <alignment horizontal="center" vertical="center"/>
      <protection hidden="1"/>
    </xf>
    <xf numFmtId="0" fontId="9" fillId="0" borderId="21" xfId="0" applyFont="1" applyBorder="1" applyAlignment="1" applyProtection="1">
      <alignment horizontal="center" vertical="center"/>
      <protection hidden="1"/>
    </xf>
    <xf numFmtId="0" fontId="32" fillId="0" borderId="0" xfId="0" applyFont="1" applyAlignment="1" applyProtection="1">
      <alignment wrapText="1"/>
      <protection locked="0" hidden="1"/>
    </xf>
    <xf numFmtId="0" fontId="28" fillId="0" borderId="17" xfId="0" applyFont="1" applyBorder="1" applyProtection="1">
      <protection hidden="1"/>
    </xf>
    <xf numFmtId="0" fontId="9" fillId="0" borderId="3" xfId="0" applyFont="1" applyBorder="1" applyAlignment="1" applyProtection="1">
      <alignment horizontal="right"/>
      <protection hidden="1"/>
    </xf>
    <xf numFmtId="0" fontId="9" fillId="0" borderId="4" xfId="0" applyFont="1" applyBorder="1" applyAlignment="1" applyProtection="1">
      <alignment horizontal="right"/>
      <protection hidden="1"/>
    </xf>
    <xf numFmtId="0" fontId="9" fillId="0" borderId="21" xfId="0" applyFont="1" applyBorder="1" applyAlignment="1" applyProtection="1">
      <alignment horizontal="right"/>
      <protection hidden="1"/>
    </xf>
    <xf numFmtId="0" fontId="13" fillId="0" borderId="0" xfId="0" applyFont="1" applyBorder="1" applyProtection="1">
      <protection locked="0" hidden="1"/>
    </xf>
    <xf numFmtId="0" fontId="13" fillId="0" borderId="0" xfId="0" applyFont="1" applyBorder="1" applyAlignment="1" applyProtection="1">
      <alignment wrapText="1"/>
      <protection locked="0" hidden="1"/>
    </xf>
    <xf numFmtId="0" fontId="13" fillId="0" borderId="18" xfId="0" applyFont="1" applyBorder="1" applyProtection="1">
      <protection locked="0" hidden="1"/>
    </xf>
    <xf numFmtId="0" fontId="4" fillId="0" borderId="21" xfId="0" applyFont="1" applyBorder="1" applyAlignment="1" applyProtection="1">
      <alignment horizontal="center"/>
      <protection locked="0"/>
    </xf>
    <xf numFmtId="0" fontId="13" fillId="0" borderId="9" xfId="0" applyNumberFormat="1" applyFont="1" applyBorder="1" applyAlignment="1" applyProtection="1">
      <alignment horizontal="right"/>
      <protection locked="0" hidden="1"/>
    </xf>
    <xf numFmtId="0" fontId="13" fillId="0" borderId="11" xfId="0" applyNumberFormat="1" applyFont="1" applyBorder="1" applyAlignment="1" applyProtection="1">
      <alignment horizontal="right"/>
      <protection locked="0" hidden="1"/>
    </xf>
    <xf numFmtId="0" fontId="37" fillId="0" borderId="0" xfId="0" applyFont="1" applyAlignment="1">
      <alignment horizontal="center"/>
    </xf>
    <xf numFmtId="0" fontId="4" fillId="0" borderId="5" xfId="0" applyFont="1" applyBorder="1" applyAlignment="1" applyProtection="1">
      <protection hidden="1"/>
    </xf>
    <xf numFmtId="0" fontId="4" fillId="0" borderId="10" xfId="0" applyFont="1" applyBorder="1" applyAlignment="1" applyProtection="1">
      <alignment horizontal="center"/>
      <protection hidden="1"/>
    </xf>
    <xf numFmtId="0" fontId="4" fillId="0" borderId="9" xfId="0" applyFont="1" applyBorder="1" applyProtection="1">
      <protection hidden="1"/>
    </xf>
    <xf numFmtId="0" fontId="4" fillId="0" borderId="0" xfId="0" applyFont="1" applyBorder="1" applyProtection="1">
      <protection hidden="1"/>
    </xf>
    <xf numFmtId="0" fontId="33" fillId="0" borderId="8" xfId="0" applyFont="1" applyBorder="1" applyAlignment="1" applyProtection="1">
      <protection locked="0"/>
    </xf>
    <xf numFmtId="0" fontId="33" fillId="0" borderId="9" xfId="0" applyFont="1" applyBorder="1" applyAlignment="1" applyProtection="1">
      <protection locked="0"/>
    </xf>
    <xf numFmtId="0" fontId="9" fillId="0" borderId="0" xfId="0" applyFont="1" applyAlignment="1" applyProtection="1">
      <alignment horizontal="left"/>
      <protection locked="0"/>
    </xf>
    <xf numFmtId="0" fontId="9" fillId="0" borderId="8" xfId="0" applyFont="1" applyBorder="1" applyAlignment="1" applyProtection="1">
      <alignment horizontal="left"/>
      <protection locked="0"/>
    </xf>
    <xf numFmtId="0" fontId="9" fillId="0" borderId="3" xfId="0" applyFont="1" applyBorder="1" applyAlignment="1" applyProtection="1">
      <alignment horizontal="left"/>
      <protection locked="0"/>
    </xf>
    <xf numFmtId="0" fontId="9" fillId="0" borderId="10" xfId="0" applyFont="1" applyBorder="1" applyAlignment="1" applyProtection="1">
      <alignment horizontal="left"/>
      <protection locked="0"/>
    </xf>
    <xf numFmtId="0" fontId="13" fillId="0" borderId="17" xfId="0" applyNumberFormat="1" applyFont="1" applyBorder="1" applyAlignment="1" applyProtection="1">
      <alignment horizontal="left"/>
      <protection locked="0" hidden="1"/>
    </xf>
    <xf numFmtId="0" fontId="4" fillId="0" borderId="0" xfId="0" applyFont="1" applyBorder="1" applyAlignment="1" applyProtection="1">
      <alignment horizontal="left" shrinkToFit="1"/>
      <protection hidden="1"/>
    </xf>
    <xf numFmtId="0" fontId="4" fillId="0" borderId="8" xfId="0" applyFont="1" applyBorder="1" applyProtection="1">
      <protection hidden="1"/>
    </xf>
    <xf numFmtId="0" fontId="9" fillId="0" borderId="0" xfId="0" applyFont="1" applyBorder="1" applyAlignment="1" applyProtection="1">
      <alignment horizontal="center" vertical="center"/>
      <protection hidden="1"/>
    </xf>
    <xf numFmtId="0" fontId="4" fillId="0" borderId="21" xfId="0" applyFont="1" applyBorder="1" applyAlignment="1" applyProtection="1">
      <alignment horizontal="center" vertical="center"/>
      <protection locked="0"/>
    </xf>
    <xf numFmtId="0" fontId="4" fillId="0" borderId="11" xfId="0" applyFont="1" applyBorder="1" applyAlignment="1" applyProtection="1">
      <alignment horizontal="left" vertical="center" shrinkToFit="1"/>
      <protection hidden="1"/>
    </xf>
    <xf numFmtId="0" fontId="4" fillId="0" borderId="21" xfId="0" applyFont="1" applyBorder="1" applyAlignment="1" applyProtection="1">
      <alignment horizontal="left" vertical="center" shrinkToFit="1"/>
      <protection hidden="1"/>
    </xf>
    <xf numFmtId="49" fontId="9" fillId="0" borderId="2" xfId="0" applyNumberFormat="1" applyFont="1" applyBorder="1" applyAlignment="1" applyProtection="1">
      <alignment horizontal="center" vertical="center"/>
      <protection hidden="1"/>
    </xf>
    <xf numFmtId="49" fontId="11" fillId="0" borderId="2" xfId="0" applyNumberFormat="1" applyFont="1" applyBorder="1" applyAlignment="1" applyProtection="1">
      <alignment horizontal="center" vertical="center"/>
      <protection hidden="1"/>
    </xf>
    <xf numFmtId="49" fontId="9" fillId="0" borderId="0" xfId="0" applyNumberFormat="1" applyFont="1" applyBorder="1" applyAlignment="1" applyProtection="1">
      <alignment horizontal="center" vertical="center"/>
      <protection hidden="1"/>
    </xf>
    <xf numFmtId="0" fontId="9" fillId="0" borderId="35" xfId="0" applyFont="1" applyBorder="1" applyAlignment="1" applyProtection="1">
      <alignment horizontal="center" wrapText="1"/>
      <protection hidden="1"/>
    </xf>
    <xf numFmtId="0" fontId="9" fillId="0" borderId="37" xfId="0" applyFont="1" applyBorder="1" applyAlignment="1" applyProtection="1">
      <alignment horizontal="center"/>
      <protection hidden="1"/>
    </xf>
    <xf numFmtId="0" fontId="13" fillId="0" borderId="17" xfId="0" applyFont="1" applyBorder="1" applyAlignment="1" applyProtection="1">
      <alignment horizontal="center"/>
      <protection locked="0" hidden="1"/>
    </xf>
    <xf numFmtId="0" fontId="13" fillId="0" borderId="0" xfId="0" applyFont="1" applyAlignment="1" applyProtection="1">
      <alignment shrinkToFit="1"/>
      <protection hidden="1"/>
    </xf>
    <xf numFmtId="0" fontId="13" fillId="0" borderId="5" xfId="0" applyFont="1" applyBorder="1" applyAlignment="1" applyProtection="1">
      <alignment shrinkToFit="1"/>
      <protection hidden="1"/>
    </xf>
    <xf numFmtId="0" fontId="13" fillId="0" borderId="0" xfId="0" applyFont="1" applyBorder="1" applyAlignment="1" applyProtection="1">
      <alignment shrinkToFit="1"/>
      <protection hidden="1"/>
    </xf>
    <xf numFmtId="0" fontId="25" fillId="0" borderId="14" xfId="0" applyFont="1" applyFill="1" applyBorder="1" applyProtection="1">
      <protection hidden="1"/>
    </xf>
    <xf numFmtId="0" fontId="4" fillId="0" borderId="10" xfId="0" applyFont="1" applyBorder="1" applyProtection="1">
      <protection hidden="1"/>
    </xf>
    <xf numFmtId="0" fontId="9" fillId="0" borderId="0" xfId="0" applyFont="1" applyBorder="1" applyAlignment="1" applyProtection="1">
      <alignment horizontal="left"/>
      <protection hidden="1"/>
    </xf>
    <xf numFmtId="0" fontId="28" fillId="0" borderId="0" xfId="0" applyFont="1" applyAlignment="1" applyProtection="1">
      <alignment horizontal="right" wrapText="1"/>
      <protection hidden="1"/>
    </xf>
    <xf numFmtId="0" fontId="9" fillId="0" borderId="0" xfId="0" applyFont="1" applyBorder="1" applyAlignment="1" applyProtection="1">
      <alignment horizontal="left" vertical="center"/>
      <protection hidden="1"/>
    </xf>
    <xf numFmtId="0" fontId="9" fillId="0" borderId="0" xfId="0" applyNumberFormat="1" applyFont="1" applyFill="1" applyBorder="1" applyAlignment="1" applyProtection="1">
      <alignment horizontal="center" vertical="center"/>
      <protection hidden="1"/>
    </xf>
    <xf numFmtId="0" fontId="9" fillId="0" borderId="0" xfId="0" applyNumberFormat="1" applyFont="1" applyBorder="1" applyAlignment="1" applyProtection="1">
      <alignment horizontal="left" vertical="center"/>
      <protection hidden="1"/>
    </xf>
    <xf numFmtId="0" fontId="9" fillId="0" borderId="31" xfId="0" applyFont="1" applyFill="1" applyBorder="1" applyAlignment="1" applyProtection="1">
      <alignment horizontal="center"/>
      <protection hidden="1"/>
    </xf>
    <xf numFmtId="0" fontId="9" fillId="0" borderId="1" xfId="0" applyFont="1" applyBorder="1" applyAlignment="1" applyProtection="1">
      <alignment horizontal="left" vertical="center"/>
      <protection hidden="1"/>
    </xf>
    <xf numFmtId="49" fontId="9" fillId="0" borderId="1" xfId="0" applyNumberFormat="1" applyFont="1" applyBorder="1" applyAlignment="1" applyProtection="1">
      <alignment horizontal="center"/>
      <protection hidden="1"/>
    </xf>
    <xf numFmtId="49" fontId="9" fillId="0" borderId="32" xfId="0" applyNumberFormat="1" applyFont="1" applyBorder="1" applyAlignment="1" applyProtection="1">
      <alignment horizontal="center"/>
      <protection hidden="1"/>
    </xf>
    <xf numFmtId="0" fontId="33" fillId="0" borderId="8" xfId="0" applyFont="1" applyBorder="1" applyAlignment="1" applyProtection="1">
      <protection hidden="1"/>
    </xf>
    <xf numFmtId="0" fontId="13" fillId="0" borderId="17" xfId="0" applyNumberFormat="1" applyFont="1" applyBorder="1" applyAlignment="1" applyProtection="1">
      <alignment horizontal="left"/>
      <protection hidden="1"/>
    </xf>
    <xf numFmtId="0" fontId="13" fillId="0" borderId="0" xfId="0" applyFont="1" applyBorder="1" applyAlignment="1" applyProtection="1">
      <alignment wrapText="1"/>
      <protection hidden="1"/>
    </xf>
    <xf numFmtId="0" fontId="13" fillId="0" borderId="9" xfId="0" applyNumberFormat="1" applyFont="1" applyBorder="1" applyAlignment="1" applyProtection="1">
      <alignment horizontal="right"/>
      <protection hidden="1"/>
    </xf>
    <xf numFmtId="0" fontId="13" fillId="0" borderId="11" xfId="0" applyNumberFormat="1" applyFont="1" applyBorder="1" applyAlignment="1" applyProtection="1">
      <alignment horizontal="right"/>
      <protection hidden="1"/>
    </xf>
    <xf numFmtId="0" fontId="13" fillId="0" borderId="0" xfId="0" applyFont="1" applyBorder="1" applyAlignment="1" applyProtection="1">
      <alignment horizontal="center"/>
      <protection hidden="1"/>
    </xf>
    <xf numFmtId="49" fontId="9" fillId="0" borderId="0" xfId="0" applyNumberFormat="1" applyFont="1" applyBorder="1" applyAlignment="1" applyProtection="1">
      <alignment horizontal="center"/>
      <protection hidden="1"/>
    </xf>
    <xf numFmtId="0" fontId="4" fillId="0" borderId="0" xfId="0" applyFont="1" applyBorder="1" applyAlignment="1" applyProtection="1">
      <alignment horizontal="center"/>
      <protection hidden="1"/>
    </xf>
    <xf numFmtId="0" fontId="4" fillId="0" borderId="0" xfId="0" applyFont="1" applyBorder="1" applyAlignment="1" applyProtection="1">
      <alignment horizontal="center" shrinkToFit="1"/>
      <protection hidden="1"/>
    </xf>
    <xf numFmtId="0" fontId="9" fillId="0" borderId="0" xfId="0" applyFont="1" applyBorder="1" applyAlignment="1" applyProtection="1">
      <alignment horizontal="right"/>
      <protection hidden="1"/>
    </xf>
    <xf numFmtId="0" fontId="4" fillId="0" borderId="0" xfId="0" applyFont="1" applyBorder="1" applyAlignment="1" applyProtection="1">
      <alignment shrinkToFit="1"/>
      <protection hidden="1"/>
    </xf>
    <xf numFmtId="0" fontId="4" fillId="0" borderId="3" xfId="0" applyFont="1" applyBorder="1" applyAlignment="1" applyProtection="1">
      <alignment horizontal="center"/>
      <protection locked="0"/>
    </xf>
    <xf numFmtId="0" fontId="9" fillId="0" borderId="16" xfId="0" applyFont="1" applyBorder="1" applyAlignment="1" applyProtection="1">
      <alignment horizontal="center"/>
      <protection hidden="1"/>
    </xf>
    <xf numFmtId="0" fontId="4" fillId="0" borderId="10" xfId="0" applyFont="1" applyBorder="1" applyAlignment="1" applyProtection="1">
      <alignment horizontal="center" shrinkToFit="1"/>
      <protection hidden="1"/>
    </xf>
    <xf numFmtId="49" fontId="9" fillId="0" borderId="2" xfId="0" applyNumberFormat="1" applyFont="1" applyBorder="1" applyAlignment="1" applyProtection="1">
      <alignment horizontal="center" vertical="center" wrapText="1"/>
      <protection hidden="1"/>
    </xf>
    <xf numFmtId="49" fontId="9" fillId="0" borderId="38" xfId="0" applyNumberFormat="1" applyFont="1" applyBorder="1" applyAlignment="1" applyProtection="1">
      <alignment horizontal="center" vertical="center" wrapText="1"/>
      <protection hidden="1"/>
    </xf>
    <xf numFmtId="49" fontId="9" fillId="0" borderId="38" xfId="0" applyNumberFormat="1" applyFont="1" applyBorder="1" applyAlignment="1" applyProtection="1">
      <alignment horizontal="center" vertical="center"/>
      <protection hidden="1"/>
    </xf>
    <xf numFmtId="0" fontId="25" fillId="0" borderId="17" xfId="0" applyFont="1" applyBorder="1" applyProtection="1">
      <protection hidden="1"/>
    </xf>
    <xf numFmtId="0" fontId="13" fillId="0" borderId="18" xfId="0" applyNumberFormat="1" applyFont="1" applyBorder="1" applyAlignment="1" applyProtection="1">
      <alignment horizontal="left"/>
      <protection locked="0" hidden="1"/>
    </xf>
    <xf numFmtId="0" fontId="4" fillId="0" borderId="5" xfId="0" applyFont="1" applyBorder="1" applyProtection="1">
      <protection hidden="1"/>
    </xf>
    <xf numFmtId="0" fontId="4" fillId="0" borderId="14" xfId="0" applyFont="1" applyBorder="1" applyProtection="1">
      <protection hidden="1"/>
    </xf>
    <xf numFmtId="49" fontId="9" fillId="0" borderId="0" xfId="0" applyNumberFormat="1" applyFont="1" applyBorder="1" applyAlignment="1" applyProtection="1">
      <alignment horizontal="center" vertical="center" wrapText="1"/>
      <protection hidden="1"/>
    </xf>
    <xf numFmtId="49" fontId="11" fillId="0" borderId="3" xfId="0" applyNumberFormat="1" applyFont="1" applyBorder="1" applyAlignment="1" applyProtection="1">
      <alignment horizontal="center" vertical="center"/>
      <protection hidden="1"/>
    </xf>
    <xf numFmtId="49" fontId="11" fillId="0" borderId="4" xfId="0" applyNumberFormat="1" applyFont="1" applyBorder="1" applyAlignment="1" applyProtection="1">
      <alignment horizontal="center" vertical="center"/>
      <protection hidden="1"/>
    </xf>
    <xf numFmtId="0" fontId="4" fillId="0" borderId="4" xfId="0" applyFont="1" applyBorder="1" applyAlignment="1" applyProtection="1">
      <alignment wrapText="1"/>
      <protection hidden="1"/>
    </xf>
    <xf numFmtId="0" fontId="33" fillId="0" borderId="10" xfId="0" applyFont="1" applyBorder="1" applyAlignment="1" applyProtection="1">
      <protection hidden="1"/>
    </xf>
    <xf numFmtId="0" fontId="13" fillId="0" borderId="18" xfId="0" applyNumberFormat="1" applyFont="1" applyBorder="1" applyAlignment="1" applyProtection="1">
      <alignment horizontal="left"/>
      <protection hidden="1"/>
    </xf>
    <xf numFmtId="0" fontId="9" fillId="0" borderId="21" xfId="0" applyFont="1" applyBorder="1" applyAlignment="1" applyProtection="1">
      <alignment horizontal="center"/>
      <protection hidden="1"/>
    </xf>
    <xf numFmtId="0" fontId="4" fillId="0" borderId="30" xfId="0" applyFont="1" applyBorder="1" applyProtection="1">
      <protection hidden="1"/>
    </xf>
    <xf numFmtId="0" fontId="13" fillId="0" borderId="23" xfId="0" applyFont="1" applyBorder="1" applyProtection="1">
      <protection hidden="1"/>
    </xf>
    <xf numFmtId="0" fontId="7" fillId="0" borderId="30" xfId="0" applyFont="1" applyBorder="1" applyProtection="1">
      <protection hidden="1"/>
    </xf>
    <xf numFmtId="0" fontId="28" fillId="0" borderId="0" xfId="0" applyFont="1" applyBorder="1" applyAlignment="1" applyProtection="1">
      <alignment horizontal="right"/>
      <protection hidden="1"/>
    </xf>
    <xf numFmtId="0" fontId="7" fillId="0" borderId="33" xfId="0" applyFont="1" applyBorder="1" applyProtection="1">
      <protection hidden="1"/>
    </xf>
    <xf numFmtId="0" fontId="9" fillId="0" borderId="33" xfId="0" applyFont="1" applyBorder="1" applyProtection="1">
      <protection hidden="1"/>
    </xf>
    <xf numFmtId="0" fontId="9" fillId="0" borderId="25" xfId="0" applyFont="1" applyBorder="1" applyProtection="1">
      <protection hidden="1"/>
    </xf>
    <xf numFmtId="0" fontId="28" fillId="0" borderId="33" xfId="0" applyFont="1" applyBorder="1" applyAlignment="1" applyProtection="1">
      <alignment horizontal="right"/>
      <protection hidden="1"/>
    </xf>
    <xf numFmtId="0" fontId="4" fillId="0" borderId="33" xfId="0" applyFont="1" applyBorder="1" applyProtection="1">
      <protection hidden="1"/>
    </xf>
    <xf numFmtId="0" fontId="9" fillId="0" borderId="19" xfId="0" applyFont="1" applyBorder="1" applyProtection="1">
      <protection hidden="1"/>
    </xf>
    <xf numFmtId="0" fontId="7" fillId="0" borderId="40" xfId="0" applyFont="1" applyBorder="1" applyProtection="1">
      <protection hidden="1"/>
    </xf>
    <xf numFmtId="0" fontId="7" fillId="0" borderId="41" xfId="0" applyFont="1" applyBorder="1" applyAlignment="1" applyProtection="1">
      <alignment horizontal="center"/>
      <protection hidden="1"/>
    </xf>
    <xf numFmtId="0" fontId="9" fillId="0" borderId="0" xfId="0" applyFont="1" applyAlignment="1" applyProtection="1">
      <alignment horizontal="center"/>
      <protection hidden="1"/>
    </xf>
    <xf numFmtId="0" fontId="9" fillId="0" borderId="0" xfId="0" applyFont="1" applyAlignment="1" applyProtection="1">
      <alignment shrinkToFit="1"/>
      <protection hidden="1"/>
    </xf>
    <xf numFmtId="0" fontId="4" fillId="0" borderId="20" xfId="0" applyFont="1" applyBorder="1" applyAlignment="1" applyProtection="1">
      <protection hidden="1"/>
    </xf>
    <xf numFmtId="0" fontId="4" fillId="0" borderId="19" xfId="0" applyFont="1" applyBorder="1" applyAlignment="1" applyProtection="1">
      <protection hidden="1"/>
    </xf>
    <xf numFmtId="0" fontId="4" fillId="0" borderId="23" xfId="0" applyFont="1" applyBorder="1" applyAlignment="1" applyProtection="1">
      <protection hidden="1"/>
    </xf>
    <xf numFmtId="0" fontId="4" fillId="0" borderId="24" xfId="0" applyFont="1" applyBorder="1" applyAlignment="1" applyProtection="1">
      <protection hidden="1"/>
    </xf>
    <xf numFmtId="0" fontId="4" fillId="0" borderId="25" xfId="0" applyFont="1" applyBorder="1" applyAlignment="1" applyProtection="1">
      <protection hidden="1"/>
    </xf>
    <xf numFmtId="0" fontId="4" fillId="0" borderId="26" xfId="0" applyFont="1" applyBorder="1" applyAlignment="1" applyProtection="1">
      <protection hidden="1"/>
    </xf>
    <xf numFmtId="0" fontId="4" fillId="0" borderId="9" xfId="0" applyFont="1" applyBorder="1" applyAlignment="1" applyProtection="1">
      <alignment horizontal="left"/>
      <protection hidden="1"/>
    </xf>
    <xf numFmtId="0" fontId="39" fillId="0" borderId="10" xfId="0" applyFont="1" applyBorder="1" applyAlignment="1" applyProtection="1">
      <alignment horizontal="right" vertical="center"/>
      <protection locked="0" hidden="1"/>
    </xf>
    <xf numFmtId="0" fontId="39" fillId="0" borderId="0" xfId="0" applyFont="1" applyBorder="1" applyAlignment="1" applyProtection="1">
      <alignment horizontal="right" vertical="center"/>
      <protection locked="0" hidden="1"/>
    </xf>
    <xf numFmtId="0" fontId="9" fillId="0" borderId="0" xfId="0" applyFont="1"/>
    <xf numFmtId="0" fontId="39" fillId="0" borderId="10" xfId="0" applyFont="1" applyBorder="1" applyAlignment="1" applyProtection="1">
      <alignment horizontal="right" vertical="center"/>
      <protection hidden="1"/>
    </xf>
    <xf numFmtId="0" fontId="39" fillId="0" borderId="0" xfId="0" applyFont="1" applyBorder="1" applyAlignment="1" applyProtection="1">
      <alignment horizontal="right" vertical="center"/>
      <protection hidden="1"/>
    </xf>
    <xf numFmtId="0" fontId="4" fillId="0" borderId="11" xfId="0" applyFont="1" applyBorder="1" applyProtection="1">
      <protection hidden="1"/>
    </xf>
    <xf numFmtId="0" fontId="4" fillId="0" borderId="0" xfId="0" applyFont="1" applyBorder="1"/>
    <xf numFmtId="0" fontId="4" fillId="0" borderId="4" xfId="0" applyFont="1" applyBorder="1" applyProtection="1">
      <protection hidden="1"/>
    </xf>
    <xf numFmtId="0" fontId="4" fillId="0" borderId="44" xfId="0" applyFont="1" applyBorder="1" applyAlignment="1" applyProtection="1">
      <alignment horizontal="center"/>
      <protection locked="0"/>
    </xf>
    <xf numFmtId="0" fontId="4" fillId="0" borderId="18" xfId="0" applyFont="1" applyBorder="1" applyProtection="1">
      <protection hidden="1"/>
    </xf>
    <xf numFmtId="0" fontId="4" fillId="0" borderId="21" xfId="0" applyFont="1" applyBorder="1" applyProtection="1">
      <protection hidden="1"/>
    </xf>
    <xf numFmtId="0" fontId="39" fillId="0" borderId="21" xfId="0" applyFont="1" applyBorder="1" applyAlignment="1" applyProtection="1">
      <alignment horizontal="right" vertical="center"/>
      <protection locked="0" hidden="1"/>
    </xf>
    <xf numFmtId="0" fontId="4" fillId="0" borderId="45" xfId="0" applyFont="1" applyBorder="1" applyProtection="1">
      <protection hidden="1"/>
    </xf>
    <xf numFmtId="0" fontId="39" fillId="0" borderId="0" xfId="0" applyFont="1" applyFill="1" applyBorder="1" applyAlignment="1" applyProtection="1">
      <alignment horizontal="right" vertical="center"/>
      <protection hidden="1"/>
    </xf>
    <xf numFmtId="0" fontId="18" fillId="0" borderId="0" xfId="0" applyFont="1" applyBorder="1" applyAlignment="1" applyProtection="1">
      <alignment horizontal="center" vertical="center"/>
      <protection hidden="1"/>
    </xf>
    <xf numFmtId="0" fontId="4" fillId="0" borderId="3" xfId="0" applyFont="1" applyBorder="1" applyProtection="1">
      <protection hidden="1"/>
    </xf>
    <xf numFmtId="0" fontId="4" fillId="0" borderId="9" xfId="0" applyFont="1" applyBorder="1"/>
    <xf numFmtId="0" fontId="7" fillId="0" borderId="47" xfId="0" applyFont="1" applyBorder="1" applyAlignment="1" applyProtection="1">
      <alignment horizontal="center"/>
      <protection hidden="1"/>
    </xf>
    <xf numFmtId="0" fontId="4" fillId="0" borderId="10" xfId="0" applyFont="1" applyBorder="1" applyAlignment="1" applyProtection="1">
      <alignment horizontal="left"/>
      <protection hidden="1"/>
    </xf>
    <xf numFmtId="0" fontId="4" fillId="0" borderId="14" xfId="0" applyFont="1" applyBorder="1" applyAlignment="1" applyProtection="1">
      <alignment horizontal="center"/>
      <protection hidden="1"/>
    </xf>
    <xf numFmtId="0" fontId="4" fillId="0" borderId="33" xfId="0" applyFont="1" applyBorder="1" applyAlignment="1" applyProtection="1">
      <alignment horizontal="left"/>
      <protection hidden="1"/>
    </xf>
    <xf numFmtId="0" fontId="4" fillId="0" borderId="33" xfId="0" applyFont="1" applyBorder="1" applyAlignment="1" applyProtection="1">
      <alignment horizontal="center"/>
      <protection hidden="1"/>
    </xf>
    <xf numFmtId="0" fontId="4" fillId="0" borderId="48" xfId="0" applyFont="1" applyBorder="1" applyProtection="1">
      <protection hidden="1"/>
    </xf>
    <xf numFmtId="0" fontId="9" fillId="0" borderId="31" xfId="0" applyFont="1" applyBorder="1" applyProtection="1">
      <protection hidden="1"/>
    </xf>
    <xf numFmtId="0" fontId="9" fillId="0" borderId="32" xfId="0" applyFont="1" applyBorder="1" applyProtection="1">
      <protection hidden="1"/>
    </xf>
    <xf numFmtId="0" fontId="9" fillId="0" borderId="34" xfId="0" applyFont="1" applyBorder="1" applyProtection="1">
      <protection hidden="1"/>
    </xf>
    <xf numFmtId="0" fontId="9" fillId="0" borderId="35" xfId="0" applyFont="1" applyBorder="1" applyProtection="1">
      <protection hidden="1"/>
    </xf>
    <xf numFmtId="0" fontId="9" fillId="0" borderId="36" xfId="0" applyFont="1" applyBorder="1" applyProtection="1">
      <protection hidden="1"/>
    </xf>
    <xf numFmtId="0" fontId="9" fillId="0" borderId="37" xfId="0" applyFont="1" applyBorder="1" applyProtection="1">
      <protection hidden="1"/>
    </xf>
    <xf numFmtId="0" fontId="7" fillId="0" borderId="49" xfId="0" applyFont="1" applyBorder="1" applyAlignment="1" applyProtection="1">
      <alignment horizontal="center" vertical="center" wrapText="1"/>
      <protection hidden="1"/>
    </xf>
    <xf numFmtId="0" fontId="7" fillId="0" borderId="51" xfId="0" applyFont="1" applyBorder="1" applyAlignment="1" applyProtection="1">
      <alignment horizontal="center" vertical="center" wrapText="1"/>
      <protection hidden="1"/>
    </xf>
    <xf numFmtId="0" fontId="7" fillId="0" borderId="27" xfId="0" applyFont="1" applyBorder="1" applyAlignment="1" applyProtection="1">
      <alignment horizontal="center" vertical="center" wrapText="1"/>
      <protection hidden="1"/>
    </xf>
    <xf numFmtId="0" fontId="7" fillId="0" borderId="11" xfId="0" applyFont="1" applyBorder="1" applyAlignment="1" applyProtection="1">
      <alignment horizontal="center" vertical="center" wrapText="1"/>
      <protection hidden="1"/>
    </xf>
    <xf numFmtId="0" fontId="7" fillId="0" borderId="21" xfId="0" applyFont="1" applyBorder="1" applyAlignment="1" applyProtection="1">
      <alignment horizontal="center" vertical="center" wrapText="1"/>
      <protection hidden="1"/>
    </xf>
    <xf numFmtId="0" fontId="7" fillId="0" borderId="52" xfId="0" applyFont="1" applyBorder="1" applyAlignment="1" applyProtection="1">
      <alignment horizontal="center" vertical="center" wrapText="1"/>
      <protection hidden="1"/>
    </xf>
    <xf numFmtId="0" fontId="7" fillId="0" borderId="53" xfId="0" applyFont="1" applyBorder="1" applyAlignment="1" applyProtection="1">
      <alignment horizontal="center" vertical="center" wrapText="1"/>
      <protection hidden="1"/>
    </xf>
    <xf numFmtId="0" fontId="41" fillId="0" borderId="22" xfId="0" applyFont="1" applyBorder="1" applyAlignment="1" applyProtection="1">
      <alignment horizontal="center" vertical="center" wrapText="1"/>
      <protection hidden="1"/>
    </xf>
    <xf numFmtId="0" fontId="25" fillId="0" borderId="54" xfId="0" applyFont="1" applyBorder="1" applyProtection="1">
      <protection hidden="1"/>
    </xf>
    <xf numFmtId="0" fontId="13" fillId="0" borderId="4" xfId="0" applyFont="1" applyFill="1" applyBorder="1" applyAlignment="1" applyProtection="1">
      <alignment vertical="center"/>
    </xf>
    <xf numFmtId="0" fontId="37" fillId="0" borderId="0" xfId="0" applyFont="1" applyFill="1" applyAlignment="1" applyProtection="1">
      <alignment horizontal="center" wrapText="1"/>
      <protection hidden="1"/>
    </xf>
    <xf numFmtId="0" fontId="37" fillId="0" borderId="0" xfId="0" applyFont="1" applyFill="1" applyAlignment="1" applyProtection="1">
      <alignment wrapText="1"/>
      <protection hidden="1"/>
    </xf>
    <xf numFmtId="0" fontId="4" fillId="4" borderId="25" xfId="0" applyFont="1" applyFill="1" applyBorder="1" applyAlignment="1" applyProtection="1">
      <alignment vertical="center"/>
      <protection hidden="1"/>
    </xf>
    <xf numFmtId="0" fontId="4" fillId="4" borderId="1" xfId="0" applyFont="1" applyFill="1" applyBorder="1" applyAlignment="1" applyProtection="1">
      <alignment vertical="center"/>
      <protection hidden="1"/>
    </xf>
    <xf numFmtId="0" fontId="18" fillId="4" borderId="1" xfId="0" applyFont="1" applyFill="1" applyBorder="1" applyAlignment="1" applyProtection="1">
      <alignment horizontal="center" vertical="center"/>
      <protection hidden="1"/>
    </xf>
    <xf numFmtId="0" fontId="4" fillId="4" borderId="26" xfId="0" applyFont="1" applyFill="1" applyBorder="1" applyAlignment="1" applyProtection="1">
      <alignment vertical="center"/>
      <protection hidden="1"/>
    </xf>
    <xf numFmtId="0" fontId="2" fillId="5" borderId="14" xfId="0" applyFont="1" applyFill="1" applyBorder="1" applyAlignment="1" applyProtection="1">
      <alignment vertical="center"/>
      <protection hidden="1"/>
    </xf>
    <xf numFmtId="0" fontId="2" fillId="5" borderId="15" xfId="0" applyFont="1" applyFill="1" applyBorder="1" applyAlignment="1" applyProtection="1">
      <alignment vertical="center"/>
      <protection hidden="1"/>
    </xf>
    <xf numFmtId="0" fontId="42" fillId="0" borderId="0" xfId="0" applyFont="1" applyAlignment="1" applyProtection="1">
      <alignment horizontal="center" vertical="center"/>
      <protection hidden="1"/>
    </xf>
    <xf numFmtId="0" fontId="4" fillId="0" borderId="20" xfId="0" applyFont="1" applyBorder="1" applyProtection="1">
      <protection hidden="1"/>
    </xf>
    <xf numFmtId="0" fontId="4" fillId="0" borderId="30" xfId="0" applyFont="1" applyBorder="1" applyAlignment="1" applyProtection="1">
      <alignment horizontal="left"/>
      <protection hidden="1"/>
    </xf>
    <xf numFmtId="0" fontId="4" fillId="0" borderId="0" xfId="0" applyFont="1" applyProtection="1"/>
    <xf numFmtId="0" fontId="19" fillId="0" borderId="31" xfId="0" applyFont="1" applyBorder="1" applyAlignment="1" applyProtection="1">
      <alignment horizontal="left" vertical="center"/>
    </xf>
    <xf numFmtId="0" fontId="19" fillId="0" borderId="55" xfId="0" applyFont="1" applyBorder="1" applyAlignment="1" applyProtection="1">
      <alignment horizontal="left" vertical="center"/>
    </xf>
    <xf numFmtId="0" fontId="4" fillId="0" borderId="56" xfId="0" applyFont="1" applyBorder="1" applyProtection="1"/>
    <xf numFmtId="0" fontId="4" fillId="0" borderId="1" xfId="0" applyFont="1" applyBorder="1" applyProtection="1"/>
    <xf numFmtId="0" fontId="4" fillId="0" borderId="32" xfId="0" applyFont="1" applyBorder="1" applyProtection="1"/>
    <xf numFmtId="49" fontId="43" fillId="2" borderId="57" xfId="0" applyNumberFormat="1" applyFont="1" applyFill="1" applyBorder="1" applyAlignment="1" applyProtection="1">
      <alignment vertical="center"/>
    </xf>
    <xf numFmtId="49" fontId="43" fillId="2" borderId="2" xfId="0" applyNumberFormat="1" applyFont="1" applyFill="1" applyBorder="1" applyAlignment="1" applyProtection="1">
      <alignment vertical="center"/>
    </xf>
    <xf numFmtId="49" fontId="44" fillId="2" borderId="2" xfId="0" applyNumberFormat="1" applyFont="1" applyFill="1" applyBorder="1" applyAlignment="1" applyProtection="1">
      <alignment vertical="center"/>
    </xf>
    <xf numFmtId="49" fontId="44" fillId="2" borderId="58" xfId="0" applyNumberFormat="1" applyFont="1" applyFill="1" applyBorder="1" applyAlignment="1" applyProtection="1">
      <alignment vertical="center"/>
    </xf>
    <xf numFmtId="49" fontId="19" fillId="0" borderId="23" xfId="0" applyNumberFormat="1" applyFont="1" applyFill="1" applyBorder="1" applyAlignment="1" applyProtection="1">
      <alignment vertical="center"/>
    </xf>
    <xf numFmtId="49" fontId="13" fillId="0" borderId="9"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xf>
    <xf numFmtId="49" fontId="13" fillId="0" borderId="10" xfId="0" applyNumberFormat="1" applyFont="1" applyFill="1" applyBorder="1" applyAlignment="1" applyProtection="1">
      <alignment vertical="center"/>
    </xf>
    <xf numFmtId="0" fontId="13" fillId="0" borderId="10" xfId="0" applyFont="1" applyFill="1" applyBorder="1" applyAlignment="1" applyProtection="1">
      <alignment vertical="center"/>
    </xf>
    <xf numFmtId="49" fontId="13" fillId="0" borderId="24" xfId="0" applyNumberFormat="1" applyFont="1" applyFill="1" applyBorder="1" applyAlignment="1" applyProtection="1">
      <alignment vertical="center"/>
    </xf>
    <xf numFmtId="49" fontId="30" fillId="0" borderId="59" xfId="0" applyNumberFormat="1" applyFont="1" applyFill="1" applyBorder="1" applyAlignment="1" applyProtection="1">
      <alignment vertical="center"/>
    </xf>
    <xf numFmtId="49" fontId="29" fillId="0" borderId="60" xfId="0" applyNumberFormat="1" applyFont="1" applyFill="1" applyBorder="1" applyAlignment="1" applyProtection="1">
      <alignment vertical="center"/>
    </xf>
    <xf numFmtId="49" fontId="4" fillId="0" borderId="0" xfId="0" applyNumberFormat="1" applyFont="1" applyFill="1" applyBorder="1" applyAlignment="1" applyProtection="1">
      <alignment vertical="center"/>
    </xf>
    <xf numFmtId="49" fontId="30" fillId="0" borderId="48" xfId="0" applyNumberFormat="1" applyFont="1" applyFill="1" applyBorder="1" applyAlignment="1" applyProtection="1">
      <alignment vertical="center"/>
    </xf>
    <xf numFmtId="49" fontId="13" fillId="0" borderId="16" xfId="0" applyNumberFormat="1" applyFont="1" applyFill="1" applyBorder="1" applyAlignment="1" applyProtection="1">
      <alignment vertical="center"/>
    </xf>
    <xf numFmtId="49" fontId="13" fillId="0" borderId="8" xfId="0" applyNumberFormat="1" applyFont="1" applyFill="1" applyBorder="1" applyAlignment="1" applyProtection="1">
      <alignment vertical="center"/>
    </xf>
    <xf numFmtId="0" fontId="13" fillId="0" borderId="16" xfId="0" applyFont="1" applyFill="1" applyBorder="1" applyAlignment="1" applyProtection="1">
      <alignment vertical="center"/>
    </xf>
    <xf numFmtId="49" fontId="45" fillId="0" borderId="16" xfId="0" applyNumberFormat="1" applyFont="1" applyFill="1" applyBorder="1" applyAlignment="1" applyProtection="1">
      <alignment vertical="center"/>
    </xf>
    <xf numFmtId="49" fontId="13" fillId="0" borderId="61" xfId="0" applyNumberFormat="1" applyFont="1" applyFill="1" applyBorder="1" applyAlignment="1" applyProtection="1">
      <alignment vertical="center"/>
    </xf>
    <xf numFmtId="49" fontId="29" fillId="0" borderId="5" xfId="0" applyNumberFormat="1" applyFont="1" applyFill="1" applyBorder="1" applyAlignment="1" applyProtection="1">
      <alignment vertical="center"/>
    </xf>
    <xf numFmtId="49" fontId="4" fillId="0" borderId="11" xfId="0" applyNumberFormat="1" applyFont="1" applyFill="1" applyBorder="1" applyAlignment="1" applyProtection="1">
      <alignment vertical="center"/>
    </xf>
    <xf numFmtId="49" fontId="4" fillId="0" borderId="62" xfId="0" applyNumberFormat="1" applyFont="1" applyFill="1" applyBorder="1" applyAlignment="1" applyProtection="1">
      <alignment vertical="center"/>
    </xf>
    <xf numFmtId="0" fontId="19" fillId="0" borderId="48" xfId="0" applyFont="1" applyFill="1" applyBorder="1" applyAlignment="1" applyProtection="1">
      <alignment vertical="center"/>
    </xf>
    <xf numFmtId="0" fontId="13" fillId="0" borderId="3" xfId="0" applyFont="1" applyFill="1" applyBorder="1" applyAlignment="1" applyProtection="1">
      <alignment vertical="center"/>
    </xf>
    <xf numFmtId="0" fontId="13" fillId="0" borderId="9" xfId="0" applyFont="1" applyFill="1" applyBorder="1" applyAlignment="1" applyProtection="1">
      <alignment vertical="center"/>
    </xf>
    <xf numFmtId="0" fontId="13" fillId="0" borderId="24" xfId="0" applyFont="1" applyFill="1" applyBorder="1" applyAlignment="1" applyProtection="1">
      <alignment vertical="center"/>
    </xf>
    <xf numFmtId="0" fontId="19" fillId="0" borderId="59" xfId="0" applyFont="1" applyFill="1" applyBorder="1" applyAlignment="1" applyProtection="1">
      <alignment vertical="center"/>
    </xf>
    <xf numFmtId="0" fontId="19" fillId="0" borderId="11" xfId="0" applyFont="1" applyFill="1" applyBorder="1" applyAlignment="1" applyProtection="1">
      <alignment vertical="center"/>
    </xf>
    <xf numFmtId="0" fontId="19" fillId="0" borderId="23" xfId="0" applyFont="1" applyFill="1" applyBorder="1" applyAlignment="1" applyProtection="1">
      <alignment vertical="center"/>
    </xf>
    <xf numFmtId="0" fontId="4" fillId="0" borderId="8" xfId="0" applyFont="1" applyBorder="1" applyProtection="1"/>
    <xf numFmtId="49" fontId="45" fillId="6" borderId="61" xfId="0" applyNumberFormat="1" applyFont="1" applyFill="1" applyBorder="1" applyAlignment="1" applyProtection="1">
      <alignment vertical="center"/>
    </xf>
    <xf numFmtId="0" fontId="10" fillId="0" borderId="0" xfId="0" applyFont="1" applyFill="1" applyBorder="1" applyAlignment="1" applyProtection="1">
      <alignment vertical="center"/>
    </xf>
    <xf numFmtId="0" fontId="19" fillId="0" borderId="20" xfId="0" applyFont="1" applyFill="1" applyBorder="1" applyAlignment="1" applyProtection="1">
      <alignment vertical="center"/>
    </xf>
    <xf numFmtId="0" fontId="10" fillId="0" borderId="30" xfId="0" applyFont="1" applyFill="1" applyBorder="1" applyAlignment="1" applyProtection="1">
      <alignment vertical="center"/>
    </xf>
    <xf numFmtId="166" fontId="4" fillId="0" borderId="63" xfId="0" applyNumberFormat="1" applyFont="1" applyFill="1" applyBorder="1" applyAlignment="1" applyProtection="1">
      <alignment horizontal="center" vertical="center"/>
    </xf>
    <xf numFmtId="166" fontId="4" fillId="0" borderId="2" xfId="0" applyNumberFormat="1" applyFont="1" applyFill="1" applyBorder="1" applyAlignment="1" applyProtection="1">
      <alignment horizontal="center" vertical="center"/>
    </xf>
    <xf numFmtId="49" fontId="4" fillId="0" borderId="2" xfId="0" applyNumberFormat="1" applyFont="1" applyFill="1" applyBorder="1" applyAlignment="1" applyProtection="1">
      <alignment vertical="center"/>
    </xf>
    <xf numFmtId="49" fontId="4" fillId="0" borderId="58" xfId="0" applyNumberFormat="1" applyFont="1" applyFill="1" applyBorder="1" applyAlignment="1" applyProtection="1">
      <alignment vertical="center"/>
    </xf>
    <xf numFmtId="0" fontId="19" fillId="0" borderId="23" xfId="0" applyFont="1" applyBorder="1" applyProtection="1"/>
    <xf numFmtId="0" fontId="19" fillId="0" borderId="60" xfId="0" applyFont="1" applyFill="1" applyBorder="1" applyAlignment="1" applyProtection="1">
      <alignment vertical="center"/>
    </xf>
    <xf numFmtId="0" fontId="4" fillId="0" borderId="11" xfId="0" applyNumberFormat="1" applyFont="1" applyFill="1" applyBorder="1" applyAlignment="1" applyProtection="1">
      <alignment horizontal="center" vertical="center"/>
    </xf>
    <xf numFmtId="0" fontId="4" fillId="0" borderId="62" xfId="0" applyNumberFormat="1" applyFont="1" applyFill="1" applyBorder="1" applyAlignment="1" applyProtection="1">
      <alignment horizontal="center" vertical="center"/>
    </xf>
    <xf numFmtId="0" fontId="19" fillId="0" borderId="25" xfId="0" applyFont="1" applyFill="1" applyBorder="1" applyAlignment="1" applyProtection="1">
      <alignment vertical="center"/>
    </xf>
    <xf numFmtId="0" fontId="19" fillId="0" borderId="64" xfId="0" applyFont="1" applyFill="1" applyBorder="1" applyAlignment="1" applyProtection="1">
      <alignment vertical="center"/>
    </xf>
    <xf numFmtId="0" fontId="28" fillId="0" borderId="20" xfId="0" applyFont="1" applyBorder="1" applyProtection="1"/>
    <xf numFmtId="0" fontId="4" fillId="0" borderId="30" xfId="0" applyFont="1" applyBorder="1" applyProtection="1"/>
    <xf numFmtId="0" fontId="4" fillId="0" borderId="19" xfId="0" applyFont="1" applyBorder="1" applyProtection="1"/>
    <xf numFmtId="0" fontId="4" fillId="0" borderId="23" xfId="0" applyFont="1" applyBorder="1" applyProtection="1"/>
    <xf numFmtId="0" fontId="4" fillId="0" borderId="0" xfId="0" applyFont="1" applyBorder="1" applyProtection="1"/>
    <xf numFmtId="0" fontId="4" fillId="0" borderId="24" xfId="0" applyFont="1" applyBorder="1" applyProtection="1"/>
    <xf numFmtId="0" fontId="4" fillId="0" borderId="25" xfId="0" applyFont="1" applyBorder="1" applyProtection="1"/>
    <xf numFmtId="0" fontId="4" fillId="0" borderId="33" xfId="0" applyFont="1" applyBorder="1" applyProtection="1"/>
    <xf numFmtId="0" fontId="4" fillId="0" borderId="26" xfId="0" applyFont="1" applyBorder="1" applyProtection="1"/>
    <xf numFmtId="49" fontId="44" fillId="2" borderId="30" xfId="0" applyNumberFormat="1" applyFont="1" applyFill="1" applyBorder="1" applyAlignment="1" applyProtection="1">
      <alignment vertical="center"/>
    </xf>
    <xf numFmtId="49" fontId="44" fillId="2" borderId="19" xfId="0" applyNumberFormat="1" applyFont="1" applyFill="1" applyBorder="1" applyAlignment="1" applyProtection="1">
      <alignment vertical="center"/>
    </xf>
    <xf numFmtId="0" fontId="13" fillId="0" borderId="61" xfId="0" applyFont="1" applyFill="1" applyBorder="1" applyAlignment="1" applyProtection="1">
      <alignment vertical="center"/>
    </xf>
    <xf numFmtId="49" fontId="30" fillId="0" borderId="23" xfId="0" applyNumberFormat="1" applyFont="1" applyFill="1" applyBorder="1" applyAlignment="1" applyProtection="1">
      <alignment vertical="center"/>
    </xf>
    <xf numFmtId="49" fontId="29" fillId="0" borderId="0" xfId="0" applyNumberFormat="1" applyFont="1" applyFill="1" applyBorder="1" applyAlignment="1" applyProtection="1">
      <alignment vertical="center"/>
    </xf>
    <xf numFmtId="49" fontId="4" fillId="0" borderId="5" xfId="0" applyNumberFormat="1" applyFont="1" applyFill="1" applyBorder="1" applyAlignment="1" applyProtection="1">
      <alignment horizontal="center" vertical="center"/>
    </xf>
    <xf numFmtId="49" fontId="4" fillId="0" borderId="62" xfId="0" applyNumberFormat="1" applyFont="1" applyFill="1" applyBorder="1" applyAlignment="1" applyProtection="1">
      <alignment horizontal="center" vertical="center" shrinkToFit="1"/>
    </xf>
    <xf numFmtId="0" fontId="13" fillId="0" borderId="16" xfId="0" applyFont="1" applyBorder="1" applyProtection="1"/>
    <xf numFmtId="0" fontId="4" fillId="0" borderId="61" xfId="0" applyFont="1" applyBorder="1" applyProtection="1"/>
    <xf numFmtId="49" fontId="4" fillId="0" borderId="11" xfId="0" applyNumberFormat="1" applyFont="1" applyFill="1" applyBorder="1" applyAlignment="1" applyProtection="1">
      <alignment horizontal="center" vertical="center"/>
    </xf>
    <xf numFmtId="0" fontId="4" fillId="0" borderId="11" xfId="0" applyNumberFormat="1" applyFont="1" applyFill="1" applyBorder="1" applyAlignment="1" applyProtection="1">
      <alignment vertical="center" shrinkToFit="1"/>
    </xf>
    <xf numFmtId="0" fontId="4" fillId="0" borderId="62" xfId="0" applyFont="1" applyBorder="1" applyProtection="1"/>
    <xf numFmtId="49" fontId="29" fillId="0" borderId="9" xfId="0" applyNumberFormat="1" applyFont="1" applyFill="1" applyBorder="1" applyAlignment="1" applyProtection="1">
      <alignment vertical="center"/>
    </xf>
    <xf numFmtId="49" fontId="13" fillId="0" borderId="3" xfId="0" applyNumberFormat="1" applyFont="1" applyFill="1" applyBorder="1" applyAlignment="1" applyProtection="1">
      <alignment vertical="center"/>
    </xf>
    <xf numFmtId="0" fontId="13" fillId="0" borderId="65" xfId="0" applyFont="1" applyBorder="1" applyProtection="1"/>
    <xf numFmtId="49" fontId="29" fillId="0" borderId="11" xfId="0" applyNumberFormat="1" applyFont="1" applyFill="1" applyBorder="1" applyAlignment="1" applyProtection="1">
      <alignment vertical="center"/>
    </xf>
    <xf numFmtId="49" fontId="4" fillId="0" borderId="21" xfId="0" applyNumberFormat="1" applyFont="1" applyFill="1" applyBorder="1" applyAlignment="1" applyProtection="1">
      <alignment horizontal="center" vertical="center"/>
    </xf>
    <xf numFmtId="49" fontId="13" fillId="0" borderId="4" xfId="0" applyNumberFormat="1" applyFont="1" applyFill="1" applyBorder="1" applyAlignment="1" applyProtection="1">
      <alignment vertical="center"/>
    </xf>
    <xf numFmtId="0" fontId="13" fillId="0" borderId="66" xfId="0" applyFont="1" applyFill="1" applyBorder="1" applyAlignment="1" applyProtection="1">
      <alignment vertical="center"/>
    </xf>
    <xf numFmtId="49" fontId="13" fillId="0" borderId="65" xfId="0" applyNumberFormat="1" applyFont="1" applyFill="1" applyBorder="1" applyAlignment="1" applyProtection="1">
      <alignment vertical="center"/>
    </xf>
    <xf numFmtId="0" fontId="19" fillId="0" borderId="67" xfId="0" applyFont="1" applyFill="1" applyBorder="1" applyAlignment="1" applyProtection="1">
      <alignment vertical="center"/>
    </xf>
    <xf numFmtId="49" fontId="4" fillId="0" borderId="42" xfId="0" applyNumberFormat="1" applyFont="1" applyFill="1" applyBorder="1" applyAlignment="1" applyProtection="1">
      <alignment horizontal="center" vertical="center"/>
    </xf>
    <xf numFmtId="49" fontId="4" fillId="0" borderId="54" xfId="0" applyNumberFormat="1" applyFont="1" applyFill="1" applyBorder="1" applyAlignment="1" applyProtection="1">
      <alignment horizontal="center" vertical="center"/>
    </xf>
    <xf numFmtId="49" fontId="4" fillId="0" borderId="33" xfId="0" applyNumberFormat="1" applyFont="1" applyFill="1" applyBorder="1" applyAlignment="1" applyProtection="1">
      <alignment horizontal="center" vertical="center"/>
    </xf>
    <xf numFmtId="49" fontId="4" fillId="0" borderId="26" xfId="0" applyNumberFormat="1" applyFont="1" applyFill="1" applyBorder="1" applyAlignment="1" applyProtection="1">
      <alignment horizontal="center" vertical="center"/>
    </xf>
    <xf numFmtId="49" fontId="13" fillId="0" borderId="30" xfId="0" applyNumberFormat="1" applyFont="1" applyFill="1" applyBorder="1" applyAlignment="1" applyProtection="1">
      <alignment vertical="center"/>
    </xf>
    <xf numFmtId="49" fontId="13" fillId="0" borderId="68" xfId="0" applyNumberFormat="1" applyFont="1" applyFill="1" applyBorder="1" applyAlignment="1" applyProtection="1">
      <alignment vertical="center"/>
    </xf>
    <xf numFmtId="0" fontId="4" fillId="6" borderId="16" xfId="0" applyFont="1" applyFill="1" applyBorder="1" applyProtection="1"/>
    <xf numFmtId="0" fontId="13" fillId="6" borderId="61" xfId="0" applyFont="1" applyFill="1" applyBorder="1" applyAlignment="1" applyProtection="1">
      <alignment vertical="center"/>
    </xf>
    <xf numFmtId="0" fontId="4" fillId="0" borderId="18" xfId="0" applyNumberFormat="1" applyFont="1" applyFill="1" applyBorder="1" applyAlignment="1" applyProtection="1">
      <alignment horizontal="center" vertical="center"/>
    </xf>
    <xf numFmtId="49" fontId="13" fillId="0" borderId="11" xfId="0" applyNumberFormat="1" applyFont="1" applyFill="1" applyBorder="1" applyAlignment="1" applyProtection="1">
      <alignment vertical="center"/>
    </xf>
    <xf numFmtId="0" fontId="4" fillId="6" borderId="17" xfId="0" applyFont="1" applyFill="1" applyBorder="1" applyProtection="1"/>
    <xf numFmtId="0" fontId="4" fillId="6" borderId="24" xfId="0" applyNumberFormat="1" applyFont="1" applyFill="1" applyBorder="1" applyAlignment="1" applyProtection="1">
      <alignment horizontal="center" vertical="center"/>
    </xf>
    <xf numFmtId="0" fontId="19" fillId="0" borderId="5" xfId="0" applyFont="1" applyFill="1" applyBorder="1" applyAlignment="1" applyProtection="1">
      <alignment vertical="center"/>
    </xf>
    <xf numFmtId="0" fontId="4" fillId="0" borderId="13" xfId="0" applyNumberFormat="1" applyFont="1" applyFill="1" applyBorder="1" applyAlignment="1" applyProtection="1">
      <alignment horizontal="center" vertical="center"/>
    </xf>
    <xf numFmtId="49" fontId="13" fillId="0" borderId="15" xfId="0" applyNumberFormat="1" applyFont="1" applyFill="1" applyBorder="1" applyAlignment="1" applyProtection="1">
      <alignment vertical="center"/>
    </xf>
    <xf numFmtId="0" fontId="4" fillId="6" borderId="18" xfId="0" applyFont="1" applyFill="1" applyBorder="1" applyProtection="1"/>
    <xf numFmtId="0" fontId="13" fillId="0" borderId="0" xfId="0" applyFont="1" applyFill="1" applyBorder="1" applyAlignment="1" applyProtection="1">
      <alignment vertical="center"/>
    </xf>
    <xf numFmtId="0" fontId="4" fillId="6" borderId="66" xfId="0" applyNumberFormat="1" applyFont="1" applyFill="1" applyBorder="1" applyAlignment="1" applyProtection="1">
      <alignment horizontal="center" vertical="center"/>
    </xf>
    <xf numFmtId="0" fontId="4" fillId="0" borderId="11" xfId="0" applyFont="1" applyBorder="1" applyProtection="1"/>
    <xf numFmtId="0" fontId="4" fillId="6" borderId="53" xfId="0" applyNumberFormat="1" applyFont="1" applyFill="1" applyBorder="1" applyAlignment="1" applyProtection="1">
      <alignment horizontal="center" vertical="center"/>
    </xf>
    <xf numFmtId="49" fontId="43" fillId="2" borderId="20" xfId="0" applyNumberFormat="1" applyFont="1" applyFill="1" applyBorder="1" applyAlignment="1" applyProtection="1">
      <alignment vertical="center"/>
    </xf>
    <xf numFmtId="49" fontId="43" fillId="2" borderId="30" xfId="0" applyNumberFormat="1" applyFont="1" applyFill="1" applyBorder="1" applyAlignment="1" applyProtection="1">
      <alignment vertical="center"/>
    </xf>
    <xf numFmtId="49" fontId="19" fillId="0" borderId="48" xfId="0" applyNumberFormat="1" applyFont="1" applyFill="1" applyBorder="1" applyAlignment="1" applyProtection="1">
      <alignment vertical="center"/>
    </xf>
    <xf numFmtId="49" fontId="4" fillId="0" borderId="5" xfId="0" applyNumberFormat="1" applyFont="1" applyFill="1" applyBorder="1" applyAlignment="1" applyProtection="1">
      <alignment vertical="center"/>
    </xf>
    <xf numFmtId="49" fontId="13" fillId="0" borderId="5" xfId="0" applyNumberFormat="1" applyFont="1" applyFill="1" applyBorder="1" applyAlignment="1" applyProtection="1">
      <alignment vertical="center"/>
    </xf>
    <xf numFmtId="49" fontId="13" fillId="0" borderId="62" xfId="0" applyNumberFormat="1" applyFont="1" applyFill="1" applyBorder="1" applyAlignment="1" applyProtection="1">
      <alignment vertical="center"/>
    </xf>
    <xf numFmtId="0" fontId="19" fillId="0" borderId="33" xfId="0" applyFont="1" applyFill="1" applyBorder="1" applyAlignment="1" applyProtection="1">
      <alignment vertical="center"/>
    </xf>
    <xf numFmtId="49" fontId="4" fillId="0" borderId="33" xfId="0" applyNumberFormat="1" applyFont="1" applyFill="1" applyBorder="1" applyAlignment="1" applyProtection="1">
      <alignment vertical="center"/>
    </xf>
    <xf numFmtId="0" fontId="13" fillId="0" borderId="33" xfId="0" applyFont="1" applyFill="1" applyBorder="1" applyAlignment="1" applyProtection="1">
      <alignment vertical="center"/>
    </xf>
    <xf numFmtId="49" fontId="13" fillId="0" borderId="69" xfId="0" applyNumberFormat="1" applyFont="1" applyFill="1" applyBorder="1" applyAlignment="1" applyProtection="1">
      <alignment vertical="center"/>
    </xf>
    <xf numFmtId="0" fontId="4" fillId="0" borderId="68" xfId="0" applyFont="1" applyBorder="1" applyProtection="1"/>
    <xf numFmtId="49" fontId="45" fillId="0" borderId="19" xfId="0" applyNumberFormat="1" applyFont="1" applyFill="1" applyBorder="1" applyAlignment="1" applyProtection="1">
      <alignment vertical="center"/>
    </xf>
    <xf numFmtId="0" fontId="19" fillId="0" borderId="59" xfId="0" applyFont="1" applyBorder="1" applyProtection="1"/>
    <xf numFmtId="0" fontId="19" fillId="0" borderId="0" xfId="0" applyFont="1" applyFill="1" applyBorder="1" applyAlignment="1" applyProtection="1">
      <alignment vertical="center"/>
    </xf>
    <xf numFmtId="49" fontId="13" fillId="0" borderId="17" xfId="0" applyNumberFormat="1" applyFont="1" applyFill="1" applyBorder="1" applyAlignment="1" applyProtection="1">
      <alignment vertical="center"/>
    </xf>
    <xf numFmtId="0" fontId="4" fillId="0" borderId="0" xfId="0" applyNumberFormat="1" applyFont="1" applyFill="1" applyBorder="1" applyAlignment="1" applyProtection="1">
      <alignment horizontal="center" vertical="center"/>
    </xf>
    <xf numFmtId="0" fontId="4" fillId="0" borderId="8" xfId="0" applyNumberFormat="1" applyFont="1" applyFill="1" applyBorder="1" applyAlignment="1" applyProtection="1">
      <alignment horizontal="center" vertical="center"/>
    </xf>
    <xf numFmtId="0" fontId="13" fillId="0" borderId="0" xfId="0" applyFont="1" applyFill="1" applyBorder="1" applyAlignment="1" applyProtection="1">
      <alignment horizontal="right" vertical="center"/>
    </xf>
    <xf numFmtId="0" fontId="4" fillId="0" borderId="9" xfId="0" applyNumberFormat="1" applyFont="1" applyFill="1" applyBorder="1" applyAlignment="1" applyProtection="1">
      <alignment horizontal="center" vertical="center"/>
    </xf>
    <xf numFmtId="0" fontId="0" fillId="0" borderId="23" xfId="0" applyBorder="1" applyProtection="1"/>
    <xf numFmtId="0" fontId="0" fillId="0" borderId="5" xfId="0" applyBorder="1" applyProtection="1"/>
    <xf numFmtId="0" fontId="0" fillId="0" borderId="11" xfId="0" applyBorder="1" applyProtection="1"/>
    <xf numFmtId="0" fontId="13" fillId="0" borderId="0" xfId="0" applyFont="1" applyBorder="1" applyAlignment="1" applyProtection="1">
      <alignment horizontal="right"/>
    </xf>
    <xf numFmtId="0" fontId="0" fillId="0" borderId="25" xfId="0" applyBorder="1" applyProtection="1"/>
    <xf numFmtId="0" fontId="13" fillId="0" borderId="33" xfId="0" applyFont="1" applyFill="1" applyBorder="1" applyAlignment="1" applyProtection="1">
      <alignment horizontal="right" vertical="center"/>
    </xf>
    <xf numFmtId="0" fontId="0" fillId="0" borderId="33" xfId="0" applyBorder="1" applyProtection="1"/>
    <xf numFmtId="0" fontId="0" fillId="0" borderId="67" xfId="0" applyBorder="1" applyProtection="1"/>
    <xf numFmtId="0" fontId="0" fillId="0" borderId="0" xfId="0" applyProtection="1"/>
    <xf numFmtId="0" fontId="46" fillId="0" borderId="0" xfId="0" applyFont="1" applyProtection="1"/>
    <xf numFmtId="0" fontId="4" fillId="0" borderId="25" xfId="0" applyFont="1" applyFill="1" applyBorder="1" applyProtection="1"/>
    <xf numFmtId="0" fontId="4" fillId="0" borderId="33" xfId="0" applyFont="1" applyFill="1" applyBorder="1" applyProtection="1"/>
    <xf numFmtId="0" fontId="4" fillId="0" borderId="26" xfId="0" applyFont="1" applyFill="1" applyBorder="1" applyProtection="1"/>
    <xf numFmtId="0" fontId="4" fillId="0" borderId="0" xfId="0" applyFont="1" applyFill="1" applyProtection="1"/>
    <xf numFmtId="49" fontId="13" fillId="0" borderId="18" xfId="0" applyNumberFormat="1" applyFont="1" applyFill="1" applyBorder="1" applyAlignment="1" applyProtection="1">
      <alignment vertical="center"/>
      <protection locked="0"/>
    </xf>
    <xf numFmtId="49" fontId="4" fillId="0" borderId="70" xfId="0" applyNumberFormat="1" applyFont="1" applyFill="1" applyBorder="1" applyAlignment="1" applyProtection="1">
      <alignment horizontal="left" vertical="center"/>
      <protection locked="0"/>
    </xf>
    <xf numFmtId="49" fontId="4" fillId="0" borderId="67" xfId="0" applyNumberFormat="1" applyFont="1" applyFill="1" applyBorder="1" applyAlignment="1" applyProtection="1">
      <alignment horizontal="center" vertical="center"/>
      <protection locked="0"/>
    </xf>
    <xf numFmtId="49" fontId="4" fillId="0" borderId="21" xfId="0" applyNumberFormat="1" applyFont="1" applyFill="1" applyBorder="1" applyAlignment="1" applyProtection="1">
      <alignment horizontal="center" vertical="center"/>
      <protection locked="0"/>
    </xf>
    <xf numFmtId="49" fontId="4" fillId="0" borderId="38" xfId="0" applyNumberFormat="1" applyFont="1" applyFill="1" applyBorder="1" applyAlignment="1" applyProtection="1">
      <alignment horizontal="center" vertical="center"/>
      <protection locked="0"/>
    </xf>
    <xf numFmtId="49" fontId="4" fillId="0" borderId="53" xfId="0" applyNumberFormat="1" applyFont="1" applyFill="1" applyBorder="1" applyAlignment="1" applyProtection="1">
      <alignment horizontal="center" vertical="center"/>
      <protection locked="0"/>
    </xf>
    <xf numFmtId="49" fontId="4" fillId="0" borderId="71" xfId="0" applyNumberFormat="1" applyFont="1" applyFill="1" applyBorder="1" applyAlignment="1" applyProtection="1">
      <alignment horizontal="center" vertical="center"/>
      <protection locked="0"/>
    </xf>
    <xf numFmtId="49" fontId="4" fillId="0" borderId="18" xfId="0" applyNumberFormat="1" applyFont="1" applyFill="1" applyBorder="1" applyAlignment="1" applyProtection="1">
      <alignment horizontal="left" vertical="center"/>
      <protection locked="0"/>
    </xf>
    <xf numFmtId="0" fontId="4" fillId="0" borderId="0" xfId="0" applyNumberFormat="1" applyFont="1" applyProtection="1"/>
    <xf numFmtId="0" fontId="4" fillId="0" borderId="0" xfId="0" applyNumberFormat="1" applyFont="1" applyProtection="1">
      <protection hidden="1"/>
    </xf>
    <xf numFmtId="0" fontId="4" fillId="0" borderId="0" xfId="0" applyNumberFormat="1" applyFont="1" applyFill="1" applyProtection="1"/>
    <xf numFmtId="0" fontId="0" fillId="0" borderId="0" xfId="0" applyNumberFormat="1" applyProtection="1"/>
    <xf numFmtId="0" fontId="4" fillId="0" borderId="0" xfId="0" applyNumberFormat="1" applyFont="1" applyFill="1" applyBorder="1" applyAlignment="1" applyProtection="1">
      <alignment horizontal="left" vertical="center"/>
      <protection locked="0"/>
    </xf>
    <xf numFmtId="0" fontId="0" fillId="0" borderId="5" xfId="0" applyNumberFormat="1" applyBorder="1" applyAlignment="1" applyProtection="1">
      <alignment horizontal="left"/>
    </xf>
    <xf numFmtId="0" fontId="0" fillId="0" borderId="33" xfId="0" applyNumberFormat="1" applyBorder="1" applyAlignment="1" applyProtection="1">
      <alignment horizontal="left"/>
    </xf>
    <xf numFmtId="0" fontId="9" fillId="0" borderId="35" xfId="0" applyFont="1" applyBorder="1" applyAlignment="1" applyProtection="1">
      <alignment horizontal="right"/>
      <protection hidden="1"/>
    </xf>
    <xf numFmtId="0" fontId="9" fillId="0" borderId="36" xfId="0" applyFont="1" applyBorder="1" applyAlignment="1" applyProtection="1">
      <alignment horizontal="right"/>
      <protection hidden="1"/>
    </xf>
    <xf numFmtId="0" fontId="4" fillId="0" borderId="36" xfId="0" applyNumberFormat="1" applyFont="1" applyBorder="1" applyAlignment="1" applyProtection="1">
      <alignment horizontal="right"/>
    </xf>
    <xf numFmtId="0" fontId="4" fillId="0" borderId="37" xfId="0" applyNumberFormat="1" applyFont="1" applyBorder="1" applyAlignment="1" applyProtection="1">
      <alignment horizontal="right"/>
    </xf>
    <xf numFmtId="0" fontId="4" fillId="0" borderId="10" xfId="0" applyFont="1" applyBorder="1" applyProtection="1"/>
    <xf numFmtId="0" fontId="4" fillId="0" borderId="5" xfId="0" applyFont="1" applyBorder="1" applyProtection="1"/>
    <xf numFmtId="49" fontId="45" fillId="0" borderId="65" xfId="0" applyNumberFormat="1" applyFont="1" applyFill="1" applyBorder="1" applyAlignment="1" applyProtection="1">
      <alignment vertical="center"/>
    </xf>
    <xf numFmtId="0" fontId="10" fillId="0" borderId="33" xfId="0" applyFont="1" applyFill="1" applyBorder="1" applyAlignment="1" applyProtection="1">
      <alignment vertical="center"/>
    </xf>
    <xf numFmtId="49" fontId="4" fillId="6" borderId="26" xfId="0" applyNumberFormat="1" applyFont="1" applyFill="1" applyBorder="1" applyAlignment="1" applyProtection="1">
      <alignment vertical="center"/>
    </xf>
    <xf numFmtId="0" fontId="4" fillId="0" borderId="15" xfId="0" applyFont="1" applyBorder="1" applyProtection="1">
      <protection hidden="1"/>
    </xf>
    <xf numFmtId="0" fontId="13" fillId="0" borderId="13" xfId="0" applyFont="1" applyBorder="1" applyProtection="1">
      <protection hidden="1"/>
    </xf>
    <xf numFmtId="0" fontId="10" fillId="0" borderId="46" xfId="0" applyFont="1" applyBorder="1" applyProtection="1">
      <protection hidden="1"/>
    </xf>
    <xf numFmtId="0" fontId="13" fillId="0" borderId="63" xfId="0" applyFont="1" applyBorder="1" applyProtection="1">
      <protection hidden="1"/>
    </xf>
    <xf numFmtId="0" fontId="4" fillId="0" borderId="50" xfId="0" applyFont="1" applyBorder="1" applyProtection="1">
      <protection hidden="1"/>
    </xf>
    <xf numFmtId="0" fontId="13" fillId="0" borderId="2" xfId="0" applyFont="1" applyBorder="1" applyProtection="1">
      <protection hidden="1"/>
    </xf>
    <xf numFmtId="0" fontId="4" fillId="0" borderId="2" xfId="0" applyFont="1" applyBorder="1" applyProtection="1">
      <protection hidden="1"/>
    </xf>
    <xf numFmtId="0" fontId="10" fillId="0" borderId="58" xfId="0" applyFont="1" applyBorder="1" applyProtection="1">
      <protection hidden="1"/>
    </xf>
    <xf numFmtId="0" fontId="9" fillId="0" borderId="36" xfId="0" applyFont="1" applyBorder="1" applyAlignment="1" applyProtection="1">
      <alignment horizontal="center"/>
      <protection hidden="1"/>
    </xf>
    <xf numFmtId="0" fontId="38" fillId="0" borderId="0" xfId="0" applyFont="1" applyAlignment="1" applyProtection="1">
      <alignment horizontal="center"/>
      <protection hidden="1"/>
    </xf>
    <xf numFmtId="0" fontId="9" fillId="2" borderId="0" xfId="0" applyFont="1" applyFill="1" applyAlignment="1" applyProtection="1">
      <alignment horizontal="right" vertical="center"/>
      <protection hidden="1"/>
    </xf>
    <xf numFmtId="0" fontId="20" fillId="2" borderId="0" xfId="0" applyFont="1" applyFill="1" applyAlignment="1" applyProtection="1">
      <alignment horizontal="right" vertical="center"/>
      <protection hidden="1"/>
    </xf>
    <xf numFmtId="0" fontId="20" fillId="2" borderId="0" xfId="0" applyFont="1" applyFill="1" applyAlignment="1" applyProtection="1">
      <alignment horizontal="center" vertical="center"/>
      <protection hidden="1"/>
    </xf>
    <xf numFmtId="0" fontId="20" fillId="2" borderId="0" xfId="0" applyFont="1" applyFill="1" applyAlignment="1" applyProtection="1">
      <alignment vertical="center"/>
      <protection hidden="1"/>
    </xf>
    <xf numFmtId="0" fontId="4" fillId="0" borderId="35" xfId="0" applyFont="1" applyBorder="1" applyProtection="1">
      <protection locked="0" hidden="1"/>
    </xf>
    <xf numFmtId="0" fontId="4" fillId="0" borderId="36" xfId="0" applyFont="1" applyBorder="1" applyProtection="1">
      <protection locked="0" hidden="1"/>
    </xf>
    <xf numFmtId="0" fontId="4" fillId="0" borderId="37" xfId="0" applyFont="1" applyBorder="1" applyProtection="1">
      <protection locked="0" hidden="1"/>
    </xf>
    <xf numFmtId="0" fontId="7" fillId="5" borderId="38" xfId="0" applyFont="1" applyFill="1" applyBorder="1" applyAlignment="1" applyProtection="1">
      <alignment horizontal="center" vertical="center" shrinkToFit="1"/>
      <protection locked="0"/>
    </xf>
    <xf numFmtId="164" fontId="7" fillId="5" borderId="38" xfId="0" applyNumberFormat="1" applyFont="1" applyFill="1" applyBorder="1" applyAlignment="1" applyProtection="1">
      <alignment horizontal="center" vertical="center" shrinkToFit="1"/>
      <protection locked="0"/>
    </xf>
    <xf numFmtId="0" fontId="7" fillId="5" borderId="3" xfId="0" applyFont="1" applyFill="1" applyBorder="1" applyAlignment="1" applyProtection="1">
      <alignment horizontal="center" vertical="center" shrinkToFit="1"/>
      <protection locked="0"/>
    </xf>
    <xf numFmtId="0" fontId="7" fillId="5" borderId="21" xfId="0" applyFont="1" applyFill="1" applyBorder="1" applyAlignment="1" applyProtection="1">
      <alignment horizontal="center" vertical="center" shrinkToFit="1"/>
      <protection locked="0"/>
    </xf>
    <xf numFmtId="0" fontId="2" fillId="5" borderId="13" xfId="0" applyFont="1" applyFill="1" applyBorder="1" applyAlignment="1" applyProtection="1">
      <alignment vertical="center"/>
      <protection locked="0"/>
    </xf>
    <xf numFmtId="0" fontId="4" fillId="0" borderId="0" xfId="0" applyFont="1" applyAlignment="1" applyProtection="1">
      <alignment horizontal="left" vertical="center"/>
      <protection locked="0"/>
    </xf>
    <xf numFmtId="0" fontId="4" fillId="0" borderId="0" xfId="0" applyFont="1" applyAlignment="1" applyProtection="1">
      <alignment horizontal="center" vertical="center"/>
      <protection locked="0"/>
    </xf>
    <xf numFmtId="0" fontId="4" fillId="0" borderId="31" xfId="0" applyFont="1" applyFill="1" applyBorder="1" applyProtection="1">
      <protection hidden="1"/>
    </xf>
    <xf numFmtId="0" fontId="4" fillId="0" borderId="1" xfId="0" applyFont="1" applyBorder="1" applyProtection="1">
      <protection hidden="1"/>
    </xf>
    <xf numFmtId="0" fontId="4" fillId="0" borderId="32" xfId="0" applyFont="1" applyBorder="1" applyProtection="1">
      <protection hidden="1"/>
    </xf>
    <xf numFmtId="0" fontId="4" fillId="0" borderId="31" xfId="0" applyFont="1" applyBorder="1" applyProtection="1">
      <protection hidden="1"/>
    </xf>
    <xf numFmtId="0" fontId="4" fillId="0" borderId="0" xfId="0" applyFont="1" applyBorder="1" applyAlignment="1" applyProtection="1">
      <alignment horizontal="left" vertical="center"/>
      <protection locked="0"/>
    </xf>
    <xf numFmtId="0" fontId="4" fillId="0" borderId="0" xfId="0" applyFont="1" applyBorder="1" applyAlignment="1" applyProtection="1">
      <alignment horizontal="center" vertical="center"/>
      <protection locked="0"/>
    </xf>
    <xf numFmtId="0" fontId="4" fillId="0" borderId="0" xfId="0" applyFont="1" applyAlignment="1" applyProtection="1">
      <alignment vertical="center"/>
      <protection locked="0" hidden="1"/>
    </xf>
    <xf numFmtId="0" fontId="4" fillId="0" borderId="38" xfId="0" applyFont="1" applyBorder="1" applyAlignment="1" applyProtection="1">
      <alignment vertical="center" shrinkToFit="1"/>
      <protection locked="0"/>
    </xf>
    <xf numFmtId="0" fontId="4" fillId="0" borderId="38" xfId="0" applyFont="1" applyBorder="1" applyAlignment="1" applyProtection="1">
      <alignment horizontal="center" vertical="center" shrinkToFit="1"/>
      <protection locked="0"/>
    </xf>
    <xf numFmtId="0" fontId="4" fillId="0" borderId="71" xfId="0" applyFont="1" applyBorder="1" applyAlignment="1" applyProtection="1">
      <alignment horizontal="center" vertical="center" shrinkToFit="1"/>
      <protection locked="0"/>
    </xf>
    <xf numFmtId="0" fontId="4" fillId="0" borderId="72" xfId="0" applyFont="1" applyBorder="1" applyAlignment="1" applyProtection="1">
      <alignment vertical="center" shrinkToFit="1"/>
      <protection locked="0"/>
    </xf>
    <xf numFmtId="0" fontId="4" fillId="0" borderId="72" xfId="0" applyFont="1" applyBorder="1" applyAlignment="1" applyProtection="1">
      <alignment horizontal="center" vertical="center" shrinkToFit="1"/>
      <protection locked="0"/>
    </xf>
    <xf numFmtId="0" fontId="4" fillId="0" borderId="73" xfId="0" applyFont="1" applyBorder="1" applyAlignment="1" applyProtection="1">
      <alignment horizontal="center" vertical="center" shrinkToFit="1"/>
      <protection locked="0"/>
    </xf>
    <xf numFmtId="0" fontId="4" fillId="0" borderId="21" xfId="0" applyFont="1" applyBorder="1" applyAlignment="1" applyProtection="1">
      <alignment horizontal="left" vertical="center" shrinkToFit="1"/>
      <protection locked="0"/>
    </xf>
    <xf numFmtId="0" fontId="4" fillId="0" borderId="21" xfId="0" applyFont="1" applyBorder="1" applyAlignment="1" applyProtection="1">
      <alignment horizontal="center" vertical="center" shrinkToFit="1"/>
      <protection locked="0"/>
    </xf>
    <xf numFmtId="0" fontId="4" fillId="0" borderId="38" xfId="0" applyFont="1" applyBorder="1" applyAlignment="1" applyProtection="1">
      <alignment horizontal="left" vertical="center" shrinkToFit="1"/>
      <protection locked="0"/>
    </xf>
    <xf numFmtId="0" fontId="4" fillId="0" borderId="72" xfId="0" applyFont="1" applyBorder="1" applyAlignment="1" applyProtection="1">
      <alignment horizontal="left" vertical="center" shrinkToFit="1"/>
      <protection locked="0"/>
    </xf>
    <xf numFmtId="0" fontId="38" fillId="0" borderId="38" xfId="0" applyFont="1" applyBorder="1" applyAlignment="1" applyProtection="1">
      <alignment horizontal="center" vertical="center" shrinkToFit="1"/>
      <protection locked="0"/>
    </xf>
    <xf numFmtId="0" fontId="4" fillId="0" borderId="21" xfId="0" applyFont="1" applyBorder="1" applyAlignment="1" applyProtection="1">
      <alignment horizontal="left" vertical="center" shrinkToFit="1"/>
      <protection locked="0" hidden="1"/>
    </xf>
    <xf numFmtId="0" fontId="4" fillId="0" borderId="21" xfId="0" applyFont="1" applyBorder="1" applyAlignment="1" applyProtection="1">
      <alignment horizontal="center" vertical="center" shrinkToFit="1"/>
      <protection locked="0" hidden="1"/>
    </xf>
    <xf numFmtId="0" fontId="4" fillId="0" borderId="39" xfId="0" applyFont="1" applyBorder="1" applyAlignment="1" applyProtection="1">
      <alignment horizontal="center" vertical="center" shrinkToFit="1"/>
      <protection locked="0" hidden="1"/>
    </xf>
    <xf numFmtId="0" fontId="32" fillId="0" borderId="11" xfId="0" applyFont="1" applyBorder="1" applyAlignment="1" applyProtection="1">
      <alignment horizontal="center" vertical="center" shrinkToFit="1"/>
      <protection locked="0"/>
    </xf>
    <xf numFmtId="0" fontId="4" fillId="0" borderId="74" xfId="0" applyFont="1" applyBorder="1" applyAlignment="1" applyProtection="1">
      <alignment horizontal="center" vertical="center" shrinkToFit="1"/>
      <protection locked="0" hidden="1"/>
    </xf>
    <xf numFmtId="0" fontId="4" fillId="0" borderId="11" xfId="0" applyFont="1" applyBorder="1" applyAlignment="1" applyProtection="1">
      <alignment horizontal="center" vertical="center" shrinkToFit="1"/>
      <protection locked="0"/>
    </xf>
    <xf numFmtId="0" fontId="4" fillId="0" borderId="38" xfId="0" applyFont="1" applyBorder="1" applyAlignment="1" applyProtection="1">
      <alignment horizontal="center" vertical="center" shrinkToFit="1"/>
      <protection locked="0" hidden="1"/>
    </xf>
    <xf numFmtId="0" fontId="4" fillId="0" borderId="71" xfId="0" applyFont="1" applyBorder="1" applyAlignment="1" applyProtection="1">
      <alignment shrinkToFit="1"/>
      <protection locked="0"/>
    </xf>
    <xf numFmtId="0" fontId="4" fillId="0" borderId="71" xfId="0" applyFont="1" applyBorder="1" applyAlignment="1" applyProtection="1">
      <alignment horizontal="center" shrinkToFit="1"/>
      <protection locked="0"/>
    </xf>
    <xf numFmtId="0" fontId="38" fillId="0" borderId="72" xfId="0" applyFont="1" applyBorder="1" applyAlignment="1" applyProtection="1">
      <alignment horizontal="center" vertical="center" shrinkToFit="1"/>
      <protection locked="0"/>
    </xf>
    <xf numFmtId="0" fontId="4" fillId="0" borderId="42" xfId="0" applyFont="1" applyBorder="1" applyAlignment="1" applyProtection="1">
      <alignment horizontal="left" vertical="center" shrinkToFit="1"/>
      <protection locked="0" hidden="1"/>
    </xf>
    <xf numFmtId="0" fontId="4" fillId="0" borderId="42" xfId="0" applyFont="1" applyBorder="1" applyAlignment="1" applyProtection="1">
      <alignment horizontal="center" vertical="center" shrinkToFit="1"/>
      <protection locked="0" hidden="1"/>
    </xf>
    <xf numFmtId="0" fontId="4" fillId="0" borderId="43" xfId="0" applyFont="1" applyBorder="1" applyAlignment="1" applyProtection="1">
      <alignment horizontal="center" vertical="center" shrinkToFit="1"/>
      <protection locked="0" hidden="1"/>
    </xf>
    <xf numFmtId="0" fontId="32" fillId="0" borderId="67" xfId="0" applyFont="1" applyBorder="1" applyAlignment="1" applyProtection="1">
      <alignment horizontal="center" vertical="center" shrinkToFit="1"/>
      <protection locked="0"/>
    </xf>
    <xf numFmtId="0" fontId="4" fillId="0" borderId="75" xfId="0" applyFont="1" applyBorder="1" applyAlignment="1" applyProtection="1">
      <alignment horizontal="center" vertical="center" shrinkToFit="1"/>
      <protection locked="0" hidden="1"/>
    </xf>
    <xf numFmtId="0" fontId="4" fillId="0" borderId="67" xfId="0" applyFont="1" applyBorder="1" applyAlignment="1" applyProtection="1">
      <alignment horizontal="center" vertical="center" shrinkToFit="1"/>
      <protection locked="0"/>
    </xf>
    <xf numFmtId="0" fontId="4" fillId="0" borderId="72" xfId="0" applyFont="1" applyBorder="1" applyAlignment="1" applyProtection="1">
      <alignment horizontal="center" vertical="center" shrinkToFit="1"/>
      <protection locked="0" hidden="1"/>
    </xf>
    <xf numFmtId="0" fontId="38" fillId="0" borderId="11" xfId="0" applyFont="1" applyBorder="1" applyAlignment="1" applyProtection="1">
      <alignment horizontal="center" vertical="center" shrinkToFit="1"/>
      <protection locked="0"/>
    </xf>
    <xf numFmtId="0" fontId="4" fillId="0" borderId="21" xfId="0" applyFont="1" applyBorder="1" applyAlignment="1" applyProtection="1">
      <alignment horizontal="center" vertical="center" shrinkToFit="1"/>
      <protection hidden="1"/>
    </xf>
    <xf numFmtId="0" fontId="38" fillId="0" borderId="15" xfId="0" applyFont="1" applyBorder="1" applyAlignment="1" applyProtection="1">
      <alignment horizontal="center" vertical="center" shrinkToFit="1"/>
      <protection locked="0"/>
    </xf>
    <xf numFmtId="49" fontId="4" fillId="0" borderId="18" xfId="0" applyNumberFormat="1" applyFont="1" applyFill="1" applyBorder="1" applyAlignment="1" applyProtection="1">
      <alignment vertical="center"/>
      <protection locked="0" hidden="1"/>
    </xf>
    <xf numFmtId="49" fontId="4" fillId="0" borderId="53" xfId="0" applyNumberFormat="1" applyFont="1" applyFill="1" applyBorder="1" applyAlignment="1" applyProtection="1">
      <alignment vertical="center"/>
      <protection hidden="1"/>
    </xf>
    <xf numFmtId="49" fontId="4" fillId="0" borderId="11" xfId="0" applyNumberFormat="1" applyFont="1" applyFill="1" applyBorder="1" applyAlignment="1" applyProtection="1">
      <alignment horizontal="center" vertical="center"/>
      <protection locked="0"/>
    </xf>
    <xf numFmtId="49" fontId="4" fillId="0" borderId="62" xfId="0" applyNumberFormat="1" applyFont="1" applyFill="1" applyBorder="1" applyAlignment="1" applyProtection="1">
      <alignment horizontal="center" vertical="center"/>
      <protection locked="0"/>
    </xf>
    <xf numFmtId="49" fontId="4" fillId="0" borderId="26" xfId="0" applyNumberFormat="1" applyFont="1" applyFill="1" applyBorder="1" applyAlignment="1" applyProtection="1">
      <alignment horizontal="center" vertical="center"/>
      <protection locked="0"/>
    </xf>
    <xf numFmtId="49" fontId="4" fillId="0" borderId="18" xfId="0" applyNumberFormat="1" applyFont="1" applyFill="1" applyBorder="1" applyAlignment="1" applyProtection="1">
      <alignment horizontal="left" vertical="center"/>
      <protection locked="0" hidden="1"/>
    </xf>
    <xf numFmtId="166" fontId="4" fillId="0" borderId="5" xfId="0" applyNumberFormat="1" applyFont="1" applyFill="1" applyBorder="1" applyAlignment="1" applyProtection="1">
      <alignment horizontal="center" vertical="center"/>
      <protection locked="0"/>
    </xf>
    <xf numFmtId="49" fontId="4" fillId="0" borderId="54" xfId="0" applyNumberFormat="1" applyFont="1" applyFill="1" applyBorder="1" applyAlignment="1" applyProtection="1">
      <alignment vertical="center"/>
      <protection locked="0" hidden="1"/>
    </xf>
    <xf numFmtId="49" fontId="4" fillId="0" borderId="4" xfId="0" applyNumberFormat="1" applyFont="1" applyBorder="1" applyProtection="1"/>
    <xf numFmtId="49" fontId="4" fillId="0" borderId="66" xfId="0" applyNumberFormat="1" applyFont="1" applyBorder="1" applyProtection="1"/>
    <xf numFmtId="49" fontId="4" fillId="0" borderId="42" xfId="0" applyNumberFormat="1" applyFont="1" applyFill="1" applyBorder="1" applyAlignment="1" applyProtection="1">
      <alignment horizontal="center" vertical="center"/>
      <protection locked="0"/>
    </xf>
    <xf numFmtId="49" fontId="4" fillId="0" borderId="76" xfId="0" applyNumberFormat="1" applyFont="1" applyFill="1" applyBorder="1" applyAlignment="1" applyProtection="1">
      <alignment horizontal="center" vertical="center"/>
      <protection locked="0"/>
    </xf>
    <xf numFmtId="168" fontId="4" fillId="0" borderId="9" xfId="0" applyNumberFormat="1" applyFont="1" applyFill="1" applyBorder="1" applyAlignment="1" applyProtection="1">
      <alignment horizontal="center" vertical="center"/>
      <protection locked="0"/>
    </xf>
    <xf numFmtId="168" fontId="4" fillId="0" borderId="24" xfId="0" applyNumberFormat="1" applyFont="1" applyFill="1" applyBorder="1" applyAlignment="1" applyProtection="1">
      <alignment horizontal="center" vertical="center"/>
      <protection locked="0"/>
    </xf>
    <xf numFmtId="49" fontId="4" fillId="0" borderId="17" xfId="0" applyNumberFormat="1" applyFont="1" applyFill="1" applyBorder="1" applyAlignment="1" applyProtection="1">
      <alignment vertical="center"/>
      <protection hidden="1"/>
    </xf>
    <xf numFmtId="49" fontId="4" fillId="0" borderId="18" xfId="0" applyNumberFormat="1" applyFont="1" applyFill="1" applyBorder="1" applyAlignment="1" applyProtection="1">
      <alignment vertical="center"/>
      <protection hidden="1"/>
    </xf>
    <xf numFmtId="49" fontId="4" fillId="0" borderId="18" xfId="0" applyNumberFormat="1" applyFont="1" applyFill="1" applyBorder="1" applyAlignment="1" applyProtection="1">
      <alignment vertical="center"/>
      <protection locked="0"/>
    </xf>
    <xf numFmtId="0" fontId="9" fillId="0" borderId="0" xfId="0" applyFont="1" applyFill="1" applyAlignment="1" applyProtection="1">
      <alignment horizontal="center" vertical="center" wrapText="1"/>
      <protection hidden="1"/>
    </xf>
    <xf numFmtId="0" fontId="9" fillId="0" borderId="3" xfId="0" applyFont="1" applyFill="1" applyBorder="1" applyAlignment="1" applyProtection="1">
      <alignment horizontal="center" vertical="center" wrapText="1"/>
      <protection hidden="1"/>
    </xf>
    <xf numFmtId="1" fontId="12" fillId="0" borderId="0" xfId="0" applyNumberFormat="1" applyFont="1" applyAlignment="1" applyProtection="1">
      <alignment horizontal="center" vertical="center" wrapText="1"/>
      <protection locked="0"/>
    </xf>
    <xf numFmtId="0" fontId="57" fillId="2" borderId="0" xfId="0" applyFont="1" applyFill="1" applyAlignment="1" applyProtection="1">
      <alignment horizontal="center"/>
      <protection hidden="1"/>
    </xf>
    <xf numFmtId="167" fontId="57" fillId="2" borderId="0" xfId="0" applyNumberFormat="1" applyFont="1" applyFill="1" applyAlignment="1" applyProtection="1">
      <alignment horizontal="center" vertical="top"/>
      <protection hidden="1"/>
    </xf>
    <xf numFmtId="0" fontId="25" fillId="0" borderId="10" xfId="0" applyFont="1" applyBorder="1" applyAlignment="1" applyProtection="1">
      <alignment horizontal="left"/>
      <protection hidden="1"/>
    </xf>
    <xf numFmtId="0" fontId="13" fillId="0" borderId="0" xfId="0" applyFont="1" applyBorder="1" applyAlignment="1" applyProtection="1">
      <alignment horizontal="left"/>
      <protection hidden="1"/>
    </xf>
    <xf numFmtId="0" fontId="13" fillId="0" borderId="5" xfId="0" applyFont="1" applyBorder="1" applyAlignment="1" applyProtection="1">
      <alignment horizontal="left"/>
      <protection hidden="1"/>
    </xf>
    <xf numFmtId="49" fontId="11" fillId="0" borderId="5" xfId="0" applyNumberFormat="1" applyFont="1" applyBorder="1" applyAlignment="1" applyProtection="1">
      <alignment horizontal="center" vertical="center"/>
      <protection hidden="1"/>
    </xf>
    <xf numFmtId="0" fontId="13" fillId="0" borderId="54" xfId="0" applyFont="1" applyBorder="1" applyAlignment="1" applyProtection="1">
      <alignment horizontal="center"/>
      <protection hidden="1"/>
    </xf>
    <xf numFmtId="0" fontId="14" fillId="5" borderId="0" xfId="0" applyFont="1" applyFill="1" applyAlignment="1" applyProtection="1">
      <alignment vertical="center" wrapText="1"/>
      <protection hidden="1"/>
    </xf>
    <xf numFmtId="1" fontId="9" fillId="0" borderId="0" xfId="0" applyNumberFormat="1" applyFont="1" applyBorder="1" applyAlignment="1" applyProtection="1">
      <alignment horizontal="center" vertical="center" wrapText="1"/>
      <protection hidden="1"/>
    </xf>
    <xf numFmtId="0" fontId="12" fillId="0" borderId="0" xfId="0" applyFont="1" applyBorder="1" applyAlignment="1" applyProtection="1">
      <alignment horizontal="center" vertical="top"/>
      <protection hidden="1"/>
    </xf>
    <xf numFmtId="0" fontId="13" fillId="0" borderId="17" xfId="1" applyFont="1" applyBorder="1" applyAlignment="1" applyProtection="1">
      <alignment horizontal="left"/>
      <protection hidden="1"/>
    </xf>
    <xf numFmtId="0" fontId="13" fillId="0" borderId="18" xfId="1" applyFont="1" applyBorder="1" applyAlignment="1" applyProtection="1">
      <alignment horizontal="left"/>
      <protection hidden="1"/>
    </xf>
    <xf numFmtId="0" fontId="9" fillId="0" borderId="31" xfId="0" applyFont="1" applyBorder="1" applyAlignment="1" applyProtection="1">
      <alignment horizontal="left" vertical="center"/>
      <protection hidden="1"/>
    </xf>
    <xf numFmtId="0" fontId="9" fillId="0" borderId="32" xfId="0" applyFont="1" applyBorder="1" applyAlignment="1" applyProtection="1">
      <alignment horizontal="center" vertical="center"/>
      <protection hidden="1"/>
    </xf>
    <xf numFmtId="0" fontId="38" fillId="0" borderId="38" xfId="0" quotePrefix="1" applyFont="1" applyBorder="1" applyAlignment="1" applyProtection="1">
      <alignment horizontal="center" vertical="center" shrinkToFit="1"/>
      <protection locked="0"/>
    </xf>
    <xf numFmtId="0" fontId="4" fillId="0" borderId="38" xfId="0" applyFont="1" applyBorder="1" applyAlignment="1" applyProtection="1">
      <alignment horizontal="center" vertical="center" shrinkToFit="1"/>
      <protection locked="0"/>
    </xf>
    <xf numFmtId="0" fontId="4" fillId="0" borderId="38" xfId="0" applyFont="1" applyBorder="1" applyAlignment="1" applyProtection="1">
      <alignment horizontal="center" vertical="center" shrinkToFit="1"/>
      <protection locked="0"/>
    </xf>
    <xf numFmtId="0" fontId="4" fillId="0" borderId="38" xfId="0" applyFont="1" applyBorder="1" applyAlignment="1" applyProtection="1">
      <alignment horizontal="center" vertical="center" shrinkToFit="1"/>
      <protection locked="0"/>
    </xf>
    <xf numFmtId="0" fontId="4" fillId="0" borderId="38" xfId="0" applyFont="1" applyBorder="1" applyAlignment="1" applyProtection="1">
      <alignment horizontal="center" vertical="center" shrinkToFit="1"/>
      <protection locked="0"/>
    </xf>
    <xf numFmtId="0" fontId="4" fillId="0" borderId="21" xfId="0" applyFont="1" applyBorder="1" applyAlignment="1" applyProtection="1">
      <alignment vertical="center" shrinkToFit="1"/>
      <protection locked="0"/>
    </xf>
    <xf numFmtId="0" fontId="4" fillId="0" borderId="38" xfId="0" applyFont="1" applyBorder="1" applyAlignment="1" applyProtection="1">
      <alignment horizontal="center" vertical="center" shrinkToFit="1"/>
      <protection locked="0"/>
    </xf>
    <xf numFmtId="0" fontId="4" fillId="0" borderId="0" xfId="0" applyFont="1" applyBorder="1" applyAlignment="1" applyProtection="1">
      <alignment horizontal="left" vertical="center" shrinkToFit="1"/>
      <protection locked="0"/>
    </xf>
    <xf numFmtId="0" fontId="4" fillId="0" borderId="38" xfId="0" applyFont="1" applyBorder="1" applyAlignment="1" applyProtection="1">
      <alignment horizontal="left" vertical="center"/>
      <protection locked="0"/>
    </xf>
    <xf numFmtId="0" fontId="4" fillId="0" borderId="0" xfId="0" applyFont="1" applyBorder="1" applyAlignment="1" applyProtection="1">
      <alignment horizontal="center" vertical="center" shrinkToFit="1"/>
      <protection locked="0"/>
    </xf>
    <xf numFmtId="0" fontId="4" fillId="0" borderId="38" xfId="0" applyFont="1" applyBorder="1" applyAlignment="1" applyProtection="1">
      <alignment horizontal="center" vertical="center"/>
      <protection locked="0"/>
    </xf>
    <xf numFmtId="0" fontId="4" fillId="0" borderId="71" xfId="0" applyFont="1" applyBorder="1" applyAlignment="1" applyProtection="1">
      <alignment horizontal="center" vertical="center"/>
      <protection locked="0"/>
    </xf>
    <xf numFmtId="0" fontId="4" fillId="0" borderId="38" xfId="0" applyFont="1" applyBorder="1" applyAlignment="1" applyProtection="1">
      <alignment horizontal="center" vertical="center" shrinkToFit="1"/>
      <protection locked="0"/>
    </xf>
    <xf numFmtId="165" fontId="13" fillId="0" borderId="15" xfId="0" applyNumberFormat="1" applyFont="1" applyBorder="1" applyAlignment="1" applyProtection="1">
      <alignment horizontal="right"/>
      <protection locked="0" hidden="1"/>
    </xf>
    <xf numFmtId="0" fontId="4" fillId="0" borderId="0" xfId="0" applyFont="1" applyAlignment="1" applyProtection="1">
      <alignment horizontal="left" vertical="center" shrinkToFit="1"/>
      <protection locked="0"/>
    </xf>
    <xf numFmtId="0" fontId="4" fillId="0" borderId="21" xfId="0" applyFont="1" applyBorder="1" applyAlignment="1" applyProtection="1">
      <alignment horizontal="left" vertical="center"/>
      <protection locked="0"/>
    </xf>
    <xf numFmtId="0" fontId="4" fillId="0" borderId="0" xfId="0" applyFont="1" applyAlignment="1" applyProtection="1">
      <alignment horizontal="center" vertical="center" shrinkToFit="1"/>
      <protection locked="0"/>
    </xf>
    <xf numFmtId="0" fontId="4" fillId="0" borderId="38" xfId="0" applyFont="1" applyBorder="1" applyAlignment="1" applyProtection="1">
      <alignment horizontal="center" vertical="center" shrinkToFit="1"/>
      <protection locked="0"/>
    </xf>
    <xf numFmtId="0" fontId="9" fillId="0" borderId="54" xfId="0" applyFont="1" applyBorder="1" applyAlignment="1" applyProtection="1">
      <alignment horizontal="center" vertical="center"/>
      <protection locked="0"/>
    </xf>
    <xf numFmtId="0" fontId="9" fillId="0" borderId="67" xfId="0" applyFont="1" applyBorder="1" applyAlignment="1" applyProtection="1">
      <alignment horizontal="center" vertical="center"/>
      <protection locked="0"/>
    </xf>
    <xf numFmtId="0" fontId="7" fillId="0" borderId="63" xfId="0" applyFont="1" applyBorder="1" applyAlignment="1" applyProtection="1">
      <alignment horizontal="center" vertical="center" wrapText="1"/>
      <protection hidden="1"/>
    </xf>
    <xf numFmtId="0" fontId="7" fillId="0" borderId="50" xfId="0" applyFont="1" applyBorder="1" applyAlignment="1" applyProtection="1">
      <alignment horizontal="center" vertical="center" wrapText="1"/>
      <protection hidden="1"/>
    </xf>
    <xf numFmtId="0" fontId="7" fillId="0" borderId="6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7" fillId="0" borderId="68" xfId="0" applyFont="1" applyBorder="1" applyAlignment="1" applyProtection="1">
      <alignment horizontal="center" vertical="center" wrapText="1"/>
      <protection hidden="1"/>
    </xf>
    <xf numFmtId="0" fontId="13" fillId="0" borderId="4" xfId="0" applyFont="1" applyFill="1" applyBorder="1" applyAlignment="1" applyProtection="1">
      <alignment vertical="center"/>
    </xf>
    <xf numFmtId="0" fontId="13" fillId="0" borderId="21" xfId="0" applyFont="1" applyFill="1" applyBorder="1" applyAlignment="1" applyProtection="1">
      <alignment vertical="center"/>
    </xf>
    <xf numFmtId="166" fontId="4" fillId="0" borderId="54" xfId="0" applyNumberFormat="1" applyFont="1" applyFill="1" applyBorder="1" applyAlignment="1" applyProtection="1">
      <alignment horizontal="center" vertical="center"/>
      <protection locked="0"/>
    </xf>
    <xf numFmtId="166" fontId="4" fillId="0" borderId="67" xfId="0" applyNumberFormat="1" applyFont="1" applyFill="1" applyBorder="1" applyAlignment="1" applyProtection="1">
      <alignment horizontal="center" vertical="center"/>
      <protection locked="0"/>
    </xf>
    <xf numFmtId="49" fontId="13" fillId="0" borderId="4" xfId="0" applyNumberFormat="1" applyFont="1" applyFill="1" applyBorder="1" applyAlignment="1" applyProtection="1">
      <alignment vertical="center"/>
    </xf>
    <xf numFmtId="49" fontId="13" fillId="0" borderId="21" xfId="0" applyNumberFormat="1" applyFont="1" applyFill="1" applyBorder="1" applyAlignment="1" applyProtection="1">
      <alignment vertical="center"/>
    </xf>
    <xf numFmtId="49" fontId="4" fillId="0" borderId="38" xfId="0" applyNumberFormat="1" applyFont="1" applyFill="1" applyBorder="1" applyAlignment="1" applyProtection="1">
      <alignment horizontal="center" vertical="center"/>
      <protection locked="0"/>
    </xf>
    <xf numFmtId="49" fontId="4" fillId="0" borderId="71" xfId="0" applyNumberFormat="1" applyFont="1" applyFill="1" applyBorder="1" applyAlignment="1" applyProtection="1">
      <alignment horizontal="center" vertical="center"/>
      <protection locked="0"/>
    </xf>
    <xf numFmtId="14" fontId="9" fillId="0" borderId="54" xfId="0" applyNumberFormat="1" applyFont="1" applyBorder="1" applyAlignment="1" applyProtection="1">
      <alignment horizontal="center" vertical="center"/>
      <protection locked="0"/>
    </xf>
    <xf numFmtId="49" fontId="4" fillId="0" borderId="21" xfId="0" applyNumberFormat="1" applyFont="1" applyFill="1" applyBorder="1" applyAlignment="1" applyProtection="1">
      <alignment horizontal="center" vertical="center"/>
      <protection locked="0"/>
    </xf>
    <xf numFmtId="49" fontId="4" fillId="0" borderId="53" xfId="0" applyNumberFormat="1" applyFont="1" applyFill="1" applyBorder="1" applyAlignment="1" applyProtection="1">
      <alignment horizontal="center" vertical="center"/>
      <protection locked="0"/>
    </xf>
    <xf numFmtId="0" fontId="9" fillId="7" borderId="20" xfId="0" applyFont="1" applyFill="1" applyBorder="1" applyAlignment="1" applyProtection="1">
      <alignment horizontal="center" vertical="center" wrapText="1"/>
      <protection hidden="1"/>
    </xf>
    <xf numFmtId="0" fontId="9" fillId="7" borderId="19" xfId="0" applyFont="1" applyFill="1" applyBorder="1" applyAlignment="1" applyProtection="1">
      <alignment horizontal="center" vertical="center"/>
      <protection hidden="1"/>
    </xf>
    <xf numFmtId="0" fontId="9" fillId="7" borderId="23" xfId="0" applyFont="1" applyFill="1" applyBorder="1" applyAlignment="1" applyProtection="1">
      <alignment horizontal="center" vertical="center"/>
      <protection hidden="1"/>
    </xf>
    <xf numFmtId="0" fontId="9" fillId="7" borderId="24" xfId="0" applyFont="1" applyFill="1" applyBorder="1" applyAlignment="1" applyProtection="1">
      <alignment horizontal="center" vertical="center"/>
      <protection hidden="1"/>
    </xf>
    <xf numFmtId="0" fontId="9" fillId="7" borderId="25" xfId="0" applyFont="1" applyFill="1" applyBorder="1" applyAlignment="1" applyProtection="1">
      <alignment horizontal="center" vertical="center"/>
      <protection hidden="1"/>
    </xf>
    <xf numFmtId="0" fontId="9" fillId="7" borderId="26" xfId="0" applyFont="1" applyFill="1" applyBorder="1" applyAlignment="1" applyProtection="1">
      <alignment horizontal="center" vertical="center"/>
      <protection hidden="1"/>
    </xf>
    <xf numFmtId="0" fontId="24" fillId="8" borderId="17" xfId="0" applyFont="1" applyFill="1" applyBorder="1" applyAlignment="1" applyProtection="1">
      <alignment horizontal="center" vertical="center"/>
      <protection hidden="1"/>
    </xf>
    <xf numFmtId="0" fontId="24" fillId="8" borderId="0" xfId="0" applyFont="1" applyFill="1" applyAlignment="1" applyProtection="1">
      <alignment horizontal="center" vertical="center"/>
      <protection hidden="1"/>
    </xf>
    <xf numFmtId="0" fontId="4" fillId="7" borderId="20" xfId="0" applyFont="1" applyFill="1" applyBorder="1" applyAlignment="1" applyProtection="1">
      <alignment vertical="center"/>
      <protection hidden="1"/>
    </xf>
    <xf numFmtId="0" fontId="4" fillId="7" borderId="19" xfId="0" applyFont="1" applyFill="1" applyBorder="1" applyAlignment="1" applyProtection="1">
      <alignment vertical="center"/>
      <protection hidden="1"/>
    </xf>
    <xf numFmtId="0" fontId="4" fillId="7" borderId="23" xfId="0" applyFont="1" applyFill="1" applyBorder="1" applyAlignment="1" applyProtection="1">
      <alignment vertical="center"/>
      <protection hidden="1"/>
    </xf>
    <xf numFmtId="0" fontId="4" fillId="7" borderId="24" xfId="0" applyFont="1" applyFill="1" applyBorder="1" applyAlignment="1" applyProtection="1">
      <alignment vertical="center"/>
      <protection hidden="1"/>
    </xf>
    <xf numFmtId="0" fontId="4" fillId="7" borderId="25" xfId="0" applyFont="1" applyFill="1" applyBorder="1" applyAlignment="1" applyProtection="1">
      <alignment vertical="center"/>
      <protection hidden="1"/>
    </xf>
    <xf numFmtId="0" fontId="4" fillId="7" borderId="26" xfId="0" applyFont="1" applyFill="1" applyBorder="1" applyAlignment="1" applyProtection="1">
      <alignment vertical="center"/>
      <protection hidden="1"/>
    </xf>
    <xf numFmtId="0" fontId="12" fillId="0" borderId="16" xfId="0" applyFont="1" applyFill="1" applyBorder="1" applyAlignment="1" applyProtection="1">
      <alignment vertical="top" wrapText="1"/>
      <protection hidden="1"/>
    </xf>
    <xf numFmtId="0" fontId="12" fillId="0" borderId="10" xfId="0" applyFont="1" applyFill="1" applyBorder="1" applyAlignment="1" applyProtection="1">
      <alignment vertical="top" wrapText="1"/>
      <protection hidden="1"/>
    </xf>
    <xf numFmtId="0" fontId="12" fillId="0" borderId="8" xfId="0" applyFont="1" applyFill="1" applyBorder="1" applyAlignment="1" applyProtection="1">
      <alignment vertical="top" wrapText="1"/>
      <protection hidden="1"/>
    </xf>
    <xf numFmtId="0" fontId="12" fillId="0" borderId="17" xfId="0" applyFont="1" applyFill="1" applyBorder="1" applyAlignment="1" applyProtection="1">
      <alignment vertical="top" wrapText="1"/>
      <protection hidden="1"/>
    </xf>
    <xf numFmtId="0" fontId="12" fillId="0" borderId="0" xfId="0" applyFont="1" applyFill="1" applyBorder="1" applyAlignment="1" applyProtection="1">
      <alignment vertical="top" wrapText="1"/>
      <protection hidden="1"/>
    </xf>
    <xf numFmtId="0" fontId="12" fillId="0" borderId="9" xfId="0" applyFont="1" applyFill="1" applyBorder="1" applyAlignment="1" applyProtection="1">
      <alignment vertical="top" wrapText="1"/>
      <protection hidden="1"/>
    </xf>
    <xf numFmtId="0" fontId="12" fillId="0" borderId="18" xfId="0" applyFont="1" applyFill="1" applyBorder="1" applyAlignment="1" applyProtection="1">
      <alignment vertical="top" wrapText="1"/>
      <protection hidden="1"/>
    </xf>
    <xf numFmtId="0" fontId="12" fillId="0" borderId="5" xfId="0" applyFont="1" applyFill="1" applyBorder="1" applyAlignment="1" applyProtection="1">
      <alignment vertical="top" wrapText="1"/>
      <protection hidden="1"/>
    </xf>
    <xf numFmtId="0" fontId="12" fillId="0" borderId="11" xfId="0" applyFont="1" applyFill="1" applyBorder="1" applyAlignment="1" applyProtection="1">
      <alignment vertical="top" wrapText="1"/>
      <protection hidden="1"/>
    </xf>
    <xf numFmtId="0" fontId="4" fillId="0" borderId="18" xfId="0" applyFont="1" applyBorder="1" applyAlignment="1" applyProtection="1">
      <alignment shrinkToFit="1"/>
      <protection hidden="1"/>
    </xf>
    <xf numFmtId="0" fontId="4" fillId="0" borderId="5" xfId="0" applyFont="1" applyBorder="1" applyAlignment="1" applyProtection="1">
      <alignment shrinkToFit="1"/>
      <protection hidden="1"/>
    </xf>
    <xf numFmtId="0" fontId="4" fillId="0" borderId="18" xfId="0" applyFont="1" applyBorder="1" applyAlignment="1" applyProtection="1">
      <alignment horizontal="left" shrinkToFit="1"/>
      <protection hidden="1"/>
    </xf>
    <xf numFmtId="0" fontId="4" fillId="0" borderId="5" xfId="0" applyFont="1" applyBorder="1" applyAlignment="1">
      <alignment shrinkToFit="1"/>
    </xf>
    <xf numFmtId="0" fontId="4" fillId="0" borderId="5" xfId="0" applyFont="1" applyBorder="1" applyAlignment="1" applyProtection="1">
      <alignment horizontal="left" shrinkToFit="1"/>
      <protection hidden="1"/>
    </xf>
    <xf numFmtId="0" fontId="4" fillId="0" borderId="11" xfId="0" applyFont="1" applyBorder="1" applyAlignment="1" applyProtection="1">
      <alignment horizontal="left" shrinkToFit="1"/>
      <protection hidden="1"/>
    </xf>
    <xf numFmtId="49" fontId="9" fillId="0" borderId="2" xfId="0" applyNumberFormat="1" applyFont="1" applyBorder="1" applyAlignment="1" applyProtection="1">
      <alignment horizontal="center"/>
      <protection hidden="1"/>
    </xf>
    <xf numFmtId="0" fontId="4" fillId="0" borderId="5" xfId="0" applyFont="1" applyBorder="1" applyProtection="1">
      <protection hidden="1"/>
    </xf>
    <xf numFmtId="0" fontId="4" fillId="0" borderId="11" xfId="0" applyFont="1" applyBorder="1" applyAlignment="1">
      <alignment shrinkToFit="1"/>
    </xf>
    <xf numFmtId="164" fontId="13" fillId="0" borderId="17" xfId="0" applyNumberFormat="1" applyFont="1" applyBorder="1" applyAlignment="1" applyProtection="1">
      <alignment horizontal="center"/>
      <protection hidden="1"/>
    </xf>
    <xf numFmtId="164" fontId="13" fillId="0" borderId="0" xfId="0" applyNumberFormat="1" applyFont="1" applyBorder="1" applyAlignment="1" applyProtection="1">
      <alignment horizontal="center"/>
      <protection hidden="1"/>
    </xf>
    <xf numFmtId="164" fontId="13" fillId="0" borderId="9" xfId="0" applyNumberFormat="1" applyFont="1" applyBorder="1" applyAlignment="1" applyProtection="1">
      <alignment horizontal="center"/>
      <protection hidden="1"/>
    </xf>
    <xf numFmtId="0" fontId="13" fillId="0" borderId="0" xfId="0" applyFont="1" applyBorder="1" applyAlignment="1" applyProtection="1">
      <alignment shrinkToFit="1"/>
      <protection hidden="1"/>
    </xf>
    <xf numFmtId="0" fontId="13" fillId="0" borderId="9" xfId="0" applyFont="1" applyBorder="1" applyAlignment="1" applyProtection="1">
      <alignment shrinkToFit="1"/>
      <protection hidden="1"/>
    </xf>
    <xf numFmtId="0" fontId="4" fillId="0" borderId="16" xfId="0" applyFont="1" applyBorder="1" applyAlignment="1" applyProtection="1">
      <alignment shrinkToFit="1"/>
      <protection hidden="1"/>
    </xf>
    <xf numFmtId="0" fontId="4" fillId="0" borderId="10" xfId="0" applyFont="1" applyBorder="1" applyAlignment="1" applyProtection="1">
      <alignment shrinkToFit="1"/>
      <protection hidden="1"/>
    </xf>
    <xf numFmtId="0" fontId="4" fillId="0" borderId="16" xfId="0" applyFont="1" applyBorder="1" applyAlignment="1" applyProtection="1">
      <alignment horizontal="center"/>
      <protection locked="0" hidden="1"/>
    </xf>
    <xf numFmtId="0" fontId="4" fillId="0" borderId="8" xfId="0" applyFont="1" applyBorder="1" applyAlignment="1" applyProtection="1">
      <alignment horizontal="center"/>
      <protection locked="0" hidden="1"/>
    </xf>
    <xf numFmtId="0" fontId="13" fillId="0" borderId="5" xfId="0" applyFont="1" applyBorder="1" applyAlignment="1" applyProtection="1">
      <alignment shrinkToFit="1"/>
      <protection hidden="1"/>
    </xf>
    <xf numFmtId="0" fontId="13" fillId="0" borderId="11" xfId="0" applyFont="1" applyBorder="1" applyAlignment="1" applyProtection="1">
      <alignment shrinkToFit="1"/>
      <protection hidden="1"/>
    </xf>
    <xf numFmtId="165" fontId="13" fillId="0" borderId="14" xfId="0" applyNumberFormat="1" applyFont="1" applyBorder="1" applyAlignment="1" applyProtection="1">
      <alignment horizontal="right"/>
      <protection hidden="1"/>
    </xf>
    <xf numFmtId="165" fontId="13" fillId="0" borderId="15" xfId="0" applyNumberFormat="1" applyFont="1" applyBorder="1" applyAlignment="1" applyProtection="1">
      <alignment horizontal="right"/>
      <protection hidden="1"/>
    </xf>
    <xf numFmtId="0" fontId="13" fillId="0" borderId="10" xfId="0" applyFont="1" applyBorder="1" applyAlignment="1" applyProtection="1">
      <alignment shrinkToFit="1"/>
      <protection hidden="1"/>
    </xf>
    <xf numFmtId="0" fontId="13" fillId="0" borderId="8" xfId="0" applyFont="1" applyBorder="1" applyAlignment="1" applyProtection="1">
      <alignment shrinkToFit="1"/>
      <protection hidden="1"/>
    </xf>
    <xf numFmtId="0" fontId="4" fillId="0" borderId="10" xfId="0" applyFont="1" applyBorder="1" applyAlignment="1" applyProtection="1">
      <alignment horizontal="center"/>
      <protection locked="0" hidden="1"/>
    </xf>
    <xf numFmtId="0" fontId="39" fillId="6" borderId="3" xfId="0" applyFont="1" applyFill="1" applyBorder="1" applyAlignment="1" applyProtection="1">
      <alignment horizontal="right" vertical="center"/>
      <protection hidden="1"/>
    </xf>
    <xf numFmtId="0" fontId="39" fillId="6" borderId="21" xfId="0" applyFont="1" applyFill="1" applyBorder="1" applyAlignment="1" applyProtection="1">
      <alignment horizontal="right" vertical="center"/>
      <protection hidden="1"/>
    </xf>
    <xf numFmtId="0" fontId="18" fillId="0" borderId="3" xfId="0" applyFont="1" applyBorder="1" applyAlignment="1" applyProtection="1">
      <alignment horizontal="center" vertical="center"/>
      <protection locked="0"/>
    </xf>
    <xf numFmtId="0" fontId="18" fillId="0" borderId="21" xfId="0" applyFont="1" applyBorder="1" applyAlignment="1" applyProtection="1">
      <alignment horizontal="center" vertical="center"/>
      <protection locked="0"/>
    </xf>
    <xf numFmtId="0" fontId="39" fillId="0" borderId="18" xfId="0" applyFont="1" applyBorder="1" applyAlignment="1" applyProtection="1">
      <alignment horizontal="right" vertical="center"/>
      <protection locked="0" hidden="1"/>
    </xf>
    <xf numFmtId="0" fontId="39" fillId="0" borderId="11" xfId="0" applyFont="1" applyBorder="1" applyAlignment="1" applyProtection="1">
      <alignment horizontal="right" vertical="center"/>
      <protection locked="0" hidden="1"/>
    </xf>
    <xf numFmtId="0" fontId="39" fillId="0" borderId="5" xfId="0" applyFont="1" applyBorder="1" applyAlignment="1" applyProtection="1">
      <alignment horizontal="right" vertical="center"/>
      <protection locked="0" hidden="1"/>
    </xf>
    <xf numFmtId="0" fontId="4" fillId="6" borderId="16" xfId="0" applyFont="1" applyFill="1" applyBorder="1" applyAlignment="1" applyProtection="1">
      <alignment horizontal="center"/>
      <protection hidden="1"/>
    </xf>
    <xf numFmtId="0" fontId="4" fillId="6" borderId="10" xfId="0" applyFont="1" applyFill="1" applyBorder="1" applyAlignment="1" applyProtection="1">
      <alignment horizontal="center"/>
      <protection hidden="1"/>
    </xf>
    <xf numFmtId="0" fontId="4" fillId="6" borderId="8" xfId="0" applyFont="1" applyFill="1" applyBorder="1" applyAlignment="1" applyProtection="1">
      <alignment horizontal="center"/>
      <protection hidden="1"/>
    </xf>
    <xf numFmtId="0" fontId="4" fillId="6" borderId="18" xfId="0" applyFont="1" applyFill="1" applyBorder="1" applyAlignment="1" applyProtection="1">
      <alignment horizontal="center"/>
      <protection hidden="1"/>
    </xf>
    <xf numFmtId="0" fontId="4" fillId="6" borderId="5" xfId="0" applyFont="1" applyFill="1" applyBorder="1" applyAlignment="1" applyProtection="1">
      <alignment horizontal="center"/>
      <protection hidden="1"/>
    </xf>
    <xf numFmtId="0" fontId="4" fillId="6" borderId="11" xfId="0" applyFont="1" applyFill="1" applyBorder="1" applyAlignment="1" applyProtection="1">
      <alignment horizontal="center"/>
      <protection hidden="1"/>
    </xf>
    <xf numFmtId="0" fontId="4" fillId="0" borderId="16" xfId="0" applyFont="1" applyBorder="1" applyAlignment="1" applyProtection="1">
      <alignment horizontal="center"/>
      <protection locked="0"/>
    </xf>
    <xf numFmtId="0" fontId="4" fillId="0" borderId="8" xfId="0" applyFont="1" applyBorder="1" applyAlignment="1" applyProtection="1">
      <alignment horizontal="center"/>
      <protection locked="0"/>
    </xf>
    <xf numFmtId="0" fontId="39" fillId="6" borderId="16" xfId="0" applyFont="1" applyFill="1" applyBorder="1" applyAlignment="1" applyProtection="1">
      <alignment horizontal="right" vertical="center"/>
      <protection hidden="1"/>
    </xf>
    <xf numFmtId="0" fontId="39" fillId="6" borderId="8" xfId="0" applyFont="1" applyFill="1" applyBorder="1" applyAlignment="1" applyProtection="1">
      <alignment horizontal="right" vertical="center"/>
      <protection hidden="1"/>
    </xf>
    <xf numFmtId="0" fontId="39" fillId="6" borderId="18" xfId="0" applyFont="1" applyFill="1" applyBorder="1" applyAlignment="1" applyProtection="1">
      <alignment horizontal="right" vertical="center"/>
      <protection hidden="1"/>
    </xf>
    <xf numFmtId="0" fontId="39" fillId="6" borderId="11" xfId="0" applyFont="1" applyFill="1" applyBorder="1" applyAlignment="1" applyProtection="1">
      <alignment horizontal="right" vertical="center"/>
      <protection hidden="1"/>
    </xf>
    <xf numFmtId="0" fontId="4" fillId="0" borderId="13" xfId="0" applyFont="1" applyBorder="1" applyAlignment="1" applyProtection="1">
      <alignment horizontal="center" vertical="center"/>
      <protection hidden="1"/>
    </xf>
    <xf numFmtId="0" fontId="4" fillId="0" borderId="15" xfId="0" applyFont="1" applyBorder="1" applyAlignment="1" applyProtection="1">
      <alignment horizontal="center" vertical="center"/>
      <protection hidden="1"/>
    </xf>
    <xf numFmtId="0" fontId="4" fillId="0" borderId="38" xfId="0" applyFont="1" applyBorder="1" applyAlignment="1" applyProtection="1">
      <alignment horizontal="center" vertical="center"/>
      <protection hidden="1"/>
    </xf>
    <xf numFmtId="0" fontId="4" fillId="0" borderId="10" xfId="0" applyFont="1" applyBorder="1" applyAlignment="1" applyProtection="1">
      <alignment horizontal="center"/>
      <protection locked="0"/>
    </xf>
    <xf numFmtId="49" fontId="9" fillId="0" borderId="2" xfId="0" applyNumberFormat="1" applyFont="1" applyBorder="1" applyAlignment="1" applyProtection="1">
      <alignment horizontal="center" vertical="center"/>
      <protection hidden="1"/>
    </xf>
    <xf numFmtId="165" fontId="13" fillId="0" borderId="14" xfId="0" applyNumberFormat="1" applyFont="1" applyBorder="1" applyAlignment="1" applyProtection="1">
      <alignment horizontal="right"/>
      <protection locked="0" hidden="1"/>
    </xf>
    <xf numFmtId="165" fontId="13" fillId="0" borderId="15" xfId="0" applyNumberFormat="1" applyFont="1" applyBorder="1" applyAlignment="1" applyProtection="1">
      <alignment horizontal="right"/>
      <protection locked="0" hidden="1"/>
    </xf>
    <xf numFmtId="0" fontId="4" fillId="0" borderId="0" xfId="0" applyFont="1" applyAlignment="1" applyProtection="1">
      <alignment horizontal="center" wrapText="1"/>
      <protection hidden="1"/>
    </xf>
    <xf numFmtId="0" fontId="7" fillId="0" borderId="30" xfId="0" applyFont="1" applyBorder="1" applyAlignment="1" applyProtection="1">
      <alignment horizontal="center"/>
      <protection hidden="1"/>
    </xf>
    <xf numFmtId="0" fontId="4" fillId="0" borderId="31" xfId="0" applyFont="1" applyBorder="1" applyAlignment="1" applyProtection="1">
      <alignment horizontal="center"/>
      <protection hidden="1"/>
    </xf>
    <xf numFmtId="0" fontId="4" fillId="0" borderId="32" xfId="0" applyFont="1" applyBorder="1" applyAlignment="1" applyProtection="1">
      <alignment horizontal="center"/>
      <protection hidden="1"/>
    </xf>
    <xf numFmtId="0" fontId="7" fillId="0" borderId="18" xfId="0" applyFont="1" applyBorder="1" applyAlignment="1" applyProtection="1">
      <alignment horizontal="center" vertical="center" wrapText="1"/>
      <protection hidden="1"/>
    </xf>
    <xf numFmtId="0" fontId="7" fillId="0" borderId="11" xfId="0" applyFont="1" applyBorder="1" applyAlignment="1" applyProtection="1">
      <alignment horizontal="center" vertical="center" wrapText="1"/>
      <protection hidden="1"/>
    </xf>
    <xf numFmtId="0" fontId="7" fillId="0" borderId="5" xfId="0" applyFont="1" applyBorder="1" applyAlignment="1" applyProtection="1">
      <alignment horizontal="center" vertical="center" wrapText="1"/>
      <protection hidden="1"/>
    </xf>
    <xf numFmtId="0" fontId="7" fillId="0" borderId="69" xfId="0" applyFont="1" applyBorder="1" applyAlignment="1" applyProtection="1">
      <alignment horizontal="center"/>
      <protection hidden="1"/>
    </xf>
    <xf numFmtId="0" fontId="4" fillId="0" borderId="17" xfId="0" applyFont="1" applyBorder="1" applyAlignment="1" applyProtection="1">
      <alignment horizontal="left" shrinkToFit="1"/>
      <protection hidden="1"/>
    </xf>
    <xf numFmtId="0" fontId="4" fillId="0" borderId="0" xfId="0" applyFont="1" applyBorder="1" applyAlignment="1" applyProtection="1">
      <alignment horizontal="left" shrinkToFit="1"/>
      <protection hidden="1"/>
    </xf>
    <xf numFmtId="0" fontId="4" fillId="0" borderId="0" xfId="0" applyFont="1" applyBorder="1" applyAlignment="1" applyProtection="1">
      <alignment shrinkToFit="1"/>
      <protection hidden="1"/>
    </xf>
    <xf numFmtId="0" fontId="4" fillId="0" borderId="17" xfId="0" applyFont="1" applyBorder="1" applyAlignment="1" applyProtection="1">
      <alignment shrinkToFit="1"/>
      <protection hidden="1"/>
    </xf>
    <xf numFmtId="0" fontId="4" fillId="0" borderId="9" xfId="0" applyFont="1" applyBorder="1" applyAlignment="1" applyProtection="1">
      <alignment shrinkToFit="1"/>
      <protection hidden="1"/>
    </xf>
    <xf numFmtId="0" fontId="4" fillId="0" borderId="11" xfId="0" applyFont="1" applyBorder="1" applyAlignment="1" applyProtection="1">
      <alignment shrinkToFit="1"/>
      <protection hidden="1"/>
    </xf>
    <xf numFmtId="0" fontId="4" fillId="0" borderId="9" xfId="0" applyFont="1" applyBorder="1" applyAlignment="1" applyProtection="1">
      <alignment horizontal="left" shrinkToFit="1"/>
      <protection hidden="1"/>
    </xf>
    <xf numFmtId="0" fontId="14" fillId="5" borderId="0" xfId="0" applyFont="1" applyFill="1" applyAlignment="1" applyProtection="1">
      <alignment horizontal="center" vertical="center" wrapText="1"/>
      <protection hidden="1"/>
    </xf>
    <xf numFmtId="0" fontId="40" fillId="5" borderId="0" xfId="0" applyFont="1" applyFill="1" applyAlignment="1" applyProtection="1">
      <alignment vertical="top" wrapText="1"/>
      <protection hidden="1"/>
    </xf>
    <xf numFmtId="0" fontId="4" fillId="0" borderId="44" xfId="0" quotePrefix="1" applyFont="1" applyBorder="1" applyAlignment="1" applyProtection="1">
      <alignment horizontal="center"/>
      <protection locked="0"/>
    </xf>
    <xf numFmtId="16" fontId="4" fillId="0" borderId="44" xfId="0" quotePrefix="1" applyNumberFormat="1" applyFont="1" applyBorder="1" applyAlignment="1" applyProtection="1">
      <alignment horizontal="center"/>
      <protection locked="0"/>
    </xf>
    <xf numFmtId="0" fontId="13" fillId="0" borderId="18" xfId="0" applyFont="1" applyBorder="1" applyAlignment="1" applyProtection="1">
      <alignment horizontal="center" vertical="center"/>
      <protection locked="0" hidden="1"/>
    </xf>
    <xf numFmtId="0" fontId="13" fillId="0" borderId="5" xfId="0" applyFont="1" applyBorder="1" applyAlignment="1" applyProtection="1">
      <alignment horizontal="center" vertical="center"/>
      <protection locked="0" hidden="1"/>
    </xf>
    <xf numFmtId="0" fontId="13" fillId="0" borderId="11" xfId="0" applyFont="1" applyBorder="1" applyAlignment="1" applyProtection="1">
      <alignment horizontal="center" vertical="center"/>
      <protection locked="0" hidden="1"/>
    </xf>
    <xf numFmtId="0" fontId="25" fillId="0" borderId="0" xfId="0" applyFont="1" applyBorder="1" applyProtection="1">
      <protection hidden="1"/>
    </xf>
  </cellXfs>
  <cellStyles count="2">
    <cellStyle name="Normal" xfId="0" builtinId="0"/>
    <cellStyle name="Normal 2" xfId="1"/>
  </cellStyles>
  <dxfs count="64">
    <dxf>
      <font>
        <strike val="0"/>
        <condense val="0"/>
        <extend val="0"/>
        <color auto="1"/>
      </font>
    </dxf>
    <dxf>
      <font>
        <strike val="0"/>
        <condense val="0"/>
        <extend val="0"/>
        <color auto="1"/>
      </font>
    </dxf>
    <dxf>
      <font>
        <b/>
        <i val="0"/>
        <strike val="0"/>
        <condense val="0"/>
        <extend val="0"/>
      </font>
    </dxf>
    <dxf>
      <font>
        <strike val="0"/>
        <condense val="0"/>
        <extend val="0"/>
        <color auto="1"/>
      </font>
    </dxf>
    <dxf>
      <font>
        <strike val="0"/>
        <condense val="0"/>
        <extend val="0"/>
        <color auto="1"/>
      </font>
    </dxf>
    <dxf>
      <font>
        <b/>
        <i val="0"/>
        <strike val="0"/>
        <condense val="0"/>
        <extend val="0"/>
      </font>
    </dxf>
    <dxf>
      <font>
        <b/>
        <i val="0"/>
        <condense val="0"/>
        <extend val="0"/>
      </font>
      <fill>
        <patternFill>
          <bgColor indexed="10"/>
        </patternFill>
      </fill>
    </dxf>
    <dxf>
      <font>
        <b/>
        <i val="0"/>
        <strike val="0"/>
        <condense val="0"/>
        <extend val="0"/>
      </font>
      <fill>
        <patternFill>
          <bgColor indexed="10"/>
        </patternFill>
      </fill>
    </dxf>
    <dxf>
      <font>
        <strike val="0"/>
        <condense val="0"/>
        <extend val="0"/>
        <color indexed="9"/>
      </font>
    </dxf>
    <dxf>
      <font>
        <strike val="0"/>
        <condense val="0"/>
        <extend val="0"/>
        <color indexed="9"/>
      </font>
    </dxf>
    <dxf>
      <font>
        <b/>
        <i val="0"/>
        <strike val="0"/>
        <condense val="0"/>
        <extend val="0"/>
      </font>
    </dxf>
    <dxf>
      <font>
        <b/>
        <i val="0"/>
        <condense val="0"/>
        <extend val="0"/>
      </font>
      <fill>
        <patternFill>
          <bgColor indexed="10"/>
        </patternFill>
      </fill>
    </dxf>
    <dxf>
      <font>
        <b/>
        <i val="0"/>
        <strike val="0"/>
        <condense val="0"/>
        <extend val="0"/>
      </font>
      <fill>
        <patternFill>
          <bgColor indexed="10"/>
        </patternFill>
      </fill>
    </dxf>
    <dxf>
      <font>
        <b/>
        <i val="0"/>
        <strike val="0"/>
        <condense val="0"/>
        <extend val="0"/>
      </font>
    </dxf>
    <dxf>
      <font>
        <b/>
        <i val="0"/>
        <strike val="0"/>
        <condense val="0"/>
        <extend val="0"/>
      </font>
    </dxf>
    <dxf>
      <font>
        <b/>
        <i val="0"/>
        <strike val="0"/>
        <condense val="0"/>
        <extend val="0"/>
      </font>
    </dxf>
    <dxf>
      <font>
        <b/>
        <i val="0"/>
        <strike val="0"/>
        <condense val="0"/>
        <extend val="0"/>
      </font>
    </dxf>
    <dxf>
      <font>
        <b/>
        <i val="0"/>
        <strike val="0"/>
        <condense val="0"/>
        <extend val="0"/>
      </font>
    </dxf>
    <dxf>
      <font>
        <b/>
        <i val="0"/>
        <strike val="0"/>
        <condense val="0"/>
        <extend val="0"/>
      </font>
    </dxf>
    <dxf>
      <font>
        <strike val="0"/>
        <condense val="0"/>
        <extend val="0"/>
        <color indexed="11"/>
      </font>
    </dxf>
    <dxf>
      <font>
        <b/>
        <i val="0"/>
        <condense val="0"/>
        <extend val="0"/>
        <color indexed="11"/>
      </font>
    </dxf>
    <dxf>
      <font>
        <b val="0"/>
        <i/>
        <condense val="0"/>
        <extend val="0"/>
        <color indexed="10"/>
      </font>
    </dxf>
    <dxf>
      <font>
        <b/>
        <i val="0"/>
        <strike val="0"/>
        <condense val="0"/>
        <extend val="0"/>
      </font>
    </dxf>
    <dxf>
      <font>
        <b/>
        <i val="0"/>
        <strike val="0"/>
        <condense val="0"/>
        <extend val="0"/>
      </font>
    </dxf>
    <dxf>
      <fill>
        <patternFill>
          <bgColor indexed="10"/>
        </patternFill>
      </fill>
    </dxf>
    <dxf>
      <font>
        <condense val="0"/>
        <extend val="0"/>
        <color indexed="9"/>
      </font>
    </dxf>
    <dxf>
      <font>
        <b val="0"/>
        <i val="0"/>
        <condense val="0"/>
        <extend val="0"/>
      </font>
    </dxf>
    <dxf>
      <font>
        <condense val="0"/>
        <extend val="0"/>
        <color indexed="9"/>
      </font>
    </dxf>
    <dxf>
      <font>
        <b val="0"/>
        <i val="0"/>
        <condense val="0"/>
        <extend val="0"/>
      </font>
    </dxf>
    <dxf>
      <font>
        <strike val="0"/>
        <condense val="0"/>
        <extend val="0"/>
        <color indexed="9"/>
      </font>
    </dxf>
    <dxf>
      <font>
        <b/>
        <i val="0"/>
        <strike val="0"/>
        <condense val="0"/>
        <extend val="0"/>
      </font>
    </dxf>
    <dxf>
      <font>
        <strike val="0"/>
        <condense val="0"/>
        <extend val="0"/>
        <color auto="1"/>
      </font>
    </dxf>
    <dxf>
      <font>
        <b/>
        <i val="0"/>
        <strike val="0"/>
        <condense val="0"/>
        <extend val="0"/>
      </font>
    </dxf>
    <dxf>
      <font>
        <b/>
        <i val="0"/>
        <condense val="0"/>
        <extend val="0"/>
      </font>
      <fill>
        <patternFill>
          <bgColor indexed="10"/>
        </patternFill>
      </fill>
    </dxf>
    <dxf>
      <font>
        <b/>
        <i val="0"/>
        <strike val="0"/>
        <condense val="0"/>
        <extend val="0"/>
      </font>
      <fill>
        <patternFill>
          <bgColor indexed="10"/>
        </patternFill>
      </fill>
    </dxf>
    <dxf>
      <font>
        <b/>
        <i val="0"/>
        <condense val="0"/>
        <extend val="0"/>
      </font>
      <fill>
        <patternFill>
          <bgColor indexed="10"/>
        </patternFill>
      </fill>
    </dxf>
    <dxf>
      <font>
        <b/>
        <i val="0"/>
        <strike val="0"/>
        <condense val="0"/>
        <extend val="0"/>
      </font>
      <fill>
        <patternFill>
          <bgColor indexed="10"/>
        </patternFill>
      </fill>
    </dxf>
    <dxf>
      <font>
        <strike val="0"/>
        <condense val="0"/>
        <extend val="0"/>
        <color indexed="11"/>
      </font>
    </dxf>
    <dxf>
      <font>
        <b/>
        <i val="0"/>
        <condense val="0"/>
        <extend val="0"/>
        <color indexed="11"/>
      </font>
    </dxf>
    <dxf>
      <font>
        <b val="0"/>
        <i/>
        <condense val="0"/>
        <extend val="0"/>
        <color indexed="10"/>
      </font>
    </dxf>
    <dxf>
      <font>
        <strike val="0"/>
        <condense val="0"/>
        <extend val="0"/>
        <color auto="1"/>
      </font>
    </dxf>
    <dxf>
      <font>
        <strike val="0"/>
        <condense val="0"/>
        <extend val="0"/>
        <color auto="1"/>
      </font>
    </dxf>
    <dxf>
      <font>
        <b/>
        <i val="0"/>
        <strike val="0"/>
        <condense val="0"/>
        <extend val="0"/>
      </font>
    </dxf>
    <dxf>
      <font>
        <b/>
        <i val="0"/>
        <strike val="0"/>
        <condense val="0"/>
        <extend val="0"/>
      </font>
    </dxf>
    <dxf>
      <font>
        <b/>
        <i val="0"/>
        <strike val="0"/>
        <condense val="0"/>
        <extend val="0"/>
      </font>
    </dxf>
    <dxf>
      <font>
        <strike val="0"/>
        <condense val="0"/>
        <extend val="0"/>
        <color auto="1"/>
      </font>
    </dxf>
    <dxf>
      <font>
        <b/>
        <i val="0"/>
        <strike val="0"/>
        <condense val="0"/>
        <extend val="0"/>
      </font>
    </dxf>
    <dxf>
      <font>
        <strike val="0"/>
        <condense val="0"/>
        <extend val="0"/>
        <color indexed="9"/>
      </font>
    </dxf>
    <dxf>
      <font>
        <b/>
        <i val="0"/>
        <strike val="0"/>
        <condense val="0"/>
        <extend val="0"/>
      </font>
    </dxf>
    <dxf>
      <font>
        <color theme="0"/>
      </font>
    </dxf>
    <dxf>
      <font>
        <b/>
        <i val="0"/>
      </font>
    </dxf>
    <dxf>
      <font>
        <b/>
        <i val="0"/>
        <condense val="0"/>
        <extend val="0"/>
      </font>
      <fill>
        <patternFill>
          <bgColor indexed="10"/>
        </patternFill>
      </fill>
    </dxf>
    <dxf>
      <font>
        <b/>
        <i val="0"/>
        <strike val="0"/>
        <condense val="0"/>
        <extend val="0"/>
      </font>
      <fill>
        <patternFill>
          <bgColor indexed="10"/>
        </patternFill>
      </fill>
    </dxf>
    <dxf>
      <font>
        <b/>
        <i val="0"/>
        <condense val="0"/>
        <extend val="0"/>
      </font>
      <fill>
        <patternFill>
          <bgColor indexed="10"/>
        </patternFill>
      </fill>
    </dxf>
    <dxf>
      <font>
        <b/>
        <i val="0"/>
        <strike val="0"/>
        <condense val="0"/>
        <extend val="0"/>
      </font>
      <fill>
        <patternFill>
          <bgColor indexed="10"/>
        </patternFill>
      </fill>
    </dxf>
    <dxf>
      <font>
        <strike val="0"/>
        <condense val="0"/>
        <extend val="0"/>
        <color indexed="11"/>
      </font>
    </dxf>
    <dxf>
      <font>
        <b/>
        <i val="0"/>
        <condense val="0"/>
        <extend val="0"/>
        <color indexed="11"/>
      </font>
    </dxf>
    <dxf>
      <font>
        <b val="0"/>
        <i/>
        <condense val="0"/>
        <extend val="0"/>
        <color indexed="10"/>
      </font>
    </dxf>
    <dxf>
      <font>
        <b/>
        <i val="0"/>
        <strike val="0"/>
        <condense val="0"/>
        <extend val="0"/>
      </font>
    </dxf>
    <dxf>
      <font>
        <b/>
        <i val="0"/>
        <strike val="0"/>
        <condense val="0"/>
        <extend val="0"/>
      </font>
    </dxf>
    <dxf>
      <font>
        <condense val="0"/>
        <extend val="0"/>
      </font>
      <fill>
        <patternFill>
          <bgColor indexed="10"/>
        </patternFill>
      </fill>
    </dxf>
    <dxf>
      <font>
        <b/>
        <i val="0"/>
        <condense val="0"/>
        <extend val="0"/>
      </font>
      <fill>
        <patternFill>
          <bgColor indexed="10"/>
        </patternFill>
      </fill>
    </dxf>
    <dxf>
      <font>
        <condense val="0"/>
        <extend val="0"/>
      </font>
      <fill>
        <patternFill>
          <bgColor indexed="10"/>
        </patternFill>
      </fill>
    </dxf>
    <dxf>
      <font>
        <b/>
        <i val="0"/>
        <condense val="0"/>
        <extend val="0"/>
      </font>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FF9933"/>
      <rgbColor rgb="00008000"/>
      <rgbColor rgb="00000080"/>
      <rgbColor rgb="0099FF66"/>
      <rgbColor rgb="00800080"/>
      <rgbColor rgb="00008080"/>
      <rgbColor rgb="00EAEAEA"/>
      <rgbColor rgb="00DDDDDD"/>
      <rgbColor rgb="00FF9933"/>
      <rgbColor rgb="00FFFF66"/>
      <rgbColor rgb="0066FF66"/>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DBFFF0"/>
      <rgbColor rgb="00CCFFFF"/>
      <rgbColor rgb="00FDFFBF"/>
      <rgbColor rgb="00A6CAF0"/>
      <rgbColor rgb="00CCFFCC"/>
      <rgbColor rgb="00CC99FF"/>
      <rgbColor rgb="00E3E3E3"/>
      <rgbColor rgb="003366FF"/>
      <rgbColor rgb="0033CCCC"/>
      <rgbColor rgb="00339933"/>
      <rgbColor rgb="00999933"/>
      <rgbColor rgb="00996633"/>
      <rgbColor rgb="00FFFF66"/>
      <rgbColor rgb="00666699"/>
      <rgbColor rgb="00DDDDDD"/>
      <rgbColor rgb="003333CC"/>
      <rgbColor rgb="00336666"/>
      <rgbColor rgb="00003300"/>
      <rgbColor rgb="00333300"/>
      <rgbColor rgb="00663300"/>
      <rgbColor rgb="00993366"/>
      <rgbColor rgb="00333399"/>
      <rgbColor rgb="00B2B2B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Label"/>
</file>

<file path=xl/ctrlProps/ctrlProp5.xml><?xml version="1.0" encoding="utf-8"?>
<formControlPr xmlns="http://schemas.microsoft.com/office/spreadsheetml/2009/9/main" objectType="Label"/>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Label"/>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checked="Checked" lockText="1" noThreeD="1"/>
</file>

<file path=xl/ctrlProps/ctrlProp206.xml><?xml version="1.0" encoding="utf-8"?>
<formControlPr xmlns="http://schemas.microsoft.com/office/spreadsheetml/2009/9/main" objectType="CheckBox" checked="Checked" lockText="1" noThreeD="1"/>
</file>

<file path=xl/ctrlProps/ctrlProp207.xml><?xml version="1.0" encoding="utf-8"?>
<formControlPr xmlns="http://schemas.microsoft.com/office/spreadsheetml/2009/9/main" objectType="CheckBox" checked="Checked" lockText="1" noThreeD="1"/>
</file>

<file path=xl/ctrlProps/ctrlProp208.xml><?xml version="1.0" encoding="utf-8"?>
<formControlPr xmlns="http://schemas.microsoft.com/office/spreadsheetml/2009/9/main" objectType="CheckBox" checked="Checked" lockText="1" noThreeD="1"/>
</file>

<file path=xl/ctrlProps/ctrlProp209.xml><?xml version="1.0" encoding="utf-8"?>
<formControlPr xmlns="http://schemas.microsoft.com/office/spreadsheetml/2009/9/main" objectType="CheckBox" checked="Checked" lockText="1" noThreeD="1"/>
</file>

<file path=xl/ctrlProps/ctrlProp210.xml><?xml version="1.0" encoding="utf-8"?>
<formControlPr xmlns="http://schemas.microsoft.com/office/spreadsheetml/2009/9/main" objectType="CheckBox" checked="Checked" lockText="1" noThreeD="1"/>
</file>

<file path=xl/ctrlProps/ctrlProp211.xml><?xml version="1.0" encoding="utf-8"?>
<formControlPr xmlns="http://schemas.microsoft.com/office/spreadsheetml/2009/9/main" objectType="CheckBox" checked="Checked" lockText="1" noThreeD="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 Id="rId4"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4"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8</xdr:col>
      <xdr:colOff>285750</xdr:colOff>
      <xdr:row>0</xdr:row>
      <xdr:rowOff>19050</xdr:rowOff>
    </xdr:from>
    <xdr:to>
      <xdr:col>9</xdr:col>
      <xdr:colOff>561975</xdr:colOff>
      <xdr:row>2</xdr:row>
      <xdr:rowOff>0</xdr:rowOff>
    </xdr:to>
    <xdr:pic>
      <xdr:nvPicPr>
        <xdr:cNvPr id="26783" name="Picture 21" descr="HTS-logo-Kosturi"/>
        <xdr:cNvPicPr>
          <a:picLocks noChangeAspect="1" noChangeArrowheads="1"/>
        </xdr:cNvPicPr>
      </xdr:nvPicPr>
      <xdr:blipFill>
        <a:blip xmlns:r="http://schemas.openxmlformats.org/officeDocument/2006/relationships" r:embed="rId1" cstate="print"/>
        <a:srcRect/>
        <a:stretch>
          <a:fillRect/>
        </a:stretch>
      </xdr:blipFill>
      <xdr:spPr bwMode="auto">
        <a:xfrm>
          <a:off x="5267325" y="19050"/>
          <a:ext cx="1257300" cy="45720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342900</xdr:colOff>
      <xdr:row>0</xdr:row>
      <xdr:rowOff>19050</xdr:rowOff>
    </xdr:from>
    <xdr:to>
      <xdr:col>7</xdr:col>
      <xdr:colOff>790575</xdr:colOff>
      <xdr:row>2</xdr:row>
      <xdr:rowOff>0</xdr:rowOff>
    </xdr:to>
    <xdr:pic>
      <xdr:nvPicPr>
        <xdr:cNvPr id="31130" name="Picture 272" descr="HTS-logo-Kosturi"/>
        <xdr:cNvPicPr>
          <a:picLocks noChangeAspect="1" noChangeArrowheads="1"/>
        </xdr:cNvPicPr>
      </xdr:nvPicPr>
      <xdr:blipFill>
        <a:blip xmlns:r="http://schemas.openxmlformats.org/officeDocument/2006/relationships" r:embed="rId1" cstate="print"/>
        <a:srcRect/>
        <a:stretch>
          <a:fillRect/>
        </a:stretch>
      </xdr:blipFill>
      <xdr:spPr bwMode="auto">
        <a:xfrm>
          <a:off x="5200650" y="19050"/>
          <a:ext cx="1257300" cy="4572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47625</xdr:colOff>
          <xdr:row>10</xdr:row>
          <xdr:rowOff>28575</xdr:rowOff>
        </xdr:from>
        <xdr:to>
          <xdr:col>3</xdr:col>
          <xdr:colOff>771525</xdr:colOff>
          <xdr:row>10</xdr:row>
          <xdr:rowOff>247650</xdr:rowOff>
        </xdr:to>
        <xdr:sp macro="" textlink="">
          <xdr:nvSpPr>
            <xdr:cNvPr id="30736" name="Check Box 1" hidden="1">
              <a:extLst>
                <a:ext uri="{63B3BB69-23CF-44E3-9099-C40C66FF867C}">
                  <a14:compatExt spid="_x0000_s307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Hrvatskom Teniskom Savezu</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10</xdr:row>
          <xdr:rowOff>28575</xdr:rowOff>
        </xdr:from>
        <xdr:to>
          <xdr:col>5</xdr:col>
          <xdr:colOff>771525</xdr:colOff>
          <xdr:row>10</xdr:row>
          <xdr:rowOff>247650</xdr:rowOff>
        </xdr:to>
        <xdr:sp macro="" textlink="">
          <xdr:nvSpPr>
            <xdr:cNvPr id="30737" name="Check Box 2" hidden="1">
              <a:extLst>
                <a:ext uri="{63B3BB69-23CF-44E3-9099-C40C66FF867C}">
                  <a14:compatExt spid="_x0000_s307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Županijskom teniskom savezu</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10</xdr:row>
          <xdr:rowOff>28575</xdr:rowOff>
        </xdr:from>
        <xdr:to>
          <xdr:col>7</xdr:col>
          <xdr:colOff>771525</xdr:colOff>
          <xdr:row>10</xdr:row>
          <xdr:rowOff>247650</xdr:rowOff>
        </xdr:to>
        <xdr:sp macro="" textlink="">
          <xdr:nvSpPr>
            <xdr:cNvPr id="30738" name="Check Box 3" hidden="1">
              <a:extLst>
                <a:ext uri="{63B3BB69-23CF-44E3-9099-C40C66FF867C}">
                  <a14:compatExt spid="_x0000_s307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Klubu/Organizatoru</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32</xdr:row>
          <xdr:rowOff>19050</xdr:rowOff>
        </xdr:from>
        <xdr:to>
          <xdr:col>7</xdr:col>
          <xdr:colOff>733425</xdr:colOff>
          <xdr:row>34</xdr:row>
          <xdr:rowOff>104775</xdr:rowOff>
        </xdr:to>
        <xdr:sp macro="" textlink="">
          <xdr:nvSpPr>
            <xdr:cNvPr id="30742" name="Label 22" hidden="1">
              <a:extLst>
                <a:ext uri="{63B3BB69-23CF-44E3-9099-C40C66FF867C}">
                  <a14:compatExt spid="_x0000_s307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hr-HR" sz="800" b="0" i="0" u="none" strike="noStrike" baseline="0">
                  <a:solidFill>
                    <a:srgbClr val="000000"/>
                  </a:solidFill>
                  <a:latin typeface="Tahoma"/>
                  <a:ea typeface="Tahoma"/>
                  <a:cs typeface="Tahoma"/>
                </a:rPr>
                <a: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59</xdr:row>
          <xdr:rowOff>19050</xdr:rowOff>
        </xdr:from>
        <xdr:to>
          <xdr:col>7</xdr:col>
          <xdr:colOff>733425</xdr:colOff>
          <xdr:row>61</xdr:row>
          <xdr:rowOff>104775</xdr:rowOff>
        </xdr:to>
        <xdr:sp macro="" textlink="">
          <xdr:nvSpPr>
            <xdr:cNvPr id="30743" name="Label 23" hidden="1">
              <a:extLst>
                <a:ext uri="{63B3BB69-23CF-44E3-9099-C40C66FF867C}">
                  <a14:compatExt spid="_x0000_s30743"/>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hr-HR" sz="800" b="0" i="0" u="none" strike="noStrike" baseline="0">
                  <a:solidFill>
                    <a:srgbClr val="000000"/>
                  </a:solidFill>
                  <a:latin typeface="Tahoma"/>
                  <a:ea typeface="Tahoma"/>
                  <a:cs typeface="Tahoma"/>
                </a:rPr>
                <a: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49</xdr:row>
          <xdr:rowOff>123825</xdr:rowOff>
        </xdr:from>
        <xdr:to>
          <xdr:col>2</xdr:col>
          <xdr:colOff>390525</xdr:colOff>
          <xdr:row>51</xdr:row>
          <xdr:rowOff>9525</xdr:rowOff>
        </xdr:to>
        <xdr:sp macro="" textlink="">
          <xdr:nvSpPr>
            <xdr:cNvPr id="30745" name="Check Box 12" hidden="1">
              <a:extLst>
                <a:ext uri="{63B3BB69-23CF-44E3-9099-C40C66FF867C}">
                  <a14:compatExt spid="_x0000_s307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Da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49</xdr:row>
          <xdr:rowOff>123825</xdr:rowOff>
        </xdr:from>
        <xdr:to>
          <xdr:col>2</xdr:col>
          <xdr:colOff>790575</xdr:colOff>
          <xdr:row>51</xdr:row>
          <xdr:rowOff>9525</xdr:rowOff>
        </xdr:to>
        <xdr:sp macro="" textlink="">
          <xdr:nvSpPr>
            <xdr:cNvPr id="30746" name="Check Box 13" hidden="1">
              <a:extLst>
                <a:ext uri="{63B3BB69-23CF-44E3-9099-C40C66FF867C}">
                  <a14:compatExt spid="_x0000_s307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49</xdr:row>
          <xdr:rowOff>123825</xdr:rowOff>
        </xdr:from>
        <xdr:to>
          <xdr:col>5</xdr:col>
          <xdr:colOff>390525</xdr:colOff>
          <xdr:row>51</xdr:row>
          <xdr:rowOff>9525</xdr:rowOff>
        </xdr:to>
        <xdr:sp macro="" textlink="">
          <xdr:nvSpPr>
            <xdr:cNvPr id="30747" name="Check Box 14" hidden="1">
              <a:extLst>
                <a:ext uri="{63B3BB69-23CF-44E3-9099-C40C66FF867C}">
                  <a14:compatExt spid="_x0000_s307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Da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49</xdr:row>
          <xdr:rowOff>123825</xdr:rowOff>
        </xdr:from>
        <xdr:to>
          <xdr:col>5</xdr:col>
          <xdr:colOff>790575</xdr:colOff>
          <xdr:row>51</xdr:row>
          <xdr:rowOff>9525</xdr:rowOff>
        </xdr:to>
        <xdr:sp macro="" textlink="">
          <xdr:nvSpPr>
            <xdr:cNvPr id="30748" name="Check Box 15" hidden="1">
              <a:extLst>
                <a:ext uri="{63B3BB69-23CF-44E3-9099-C40C66FF867C}">
                  <a14:compatExt spid="_x0000_s307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49</xdr:row>
          <xdr:rowOff>123825</xdr:rowOff>
        </xdr:from>
        <xdr:to>
          <xdr:col>6</xdr:col>
          <xdr:colOff>638175</xdr:colOff>
          <xdr:row>51</xdr:row>
          <xdr:rowOff>9525</xdr:rowOff>
        </xdr:to>
        <xdr:sp macro="" textlink="">
          <xdr:nvSpPr>
            <xdr:cNvPr id="30749" name="Check Box 5" hidden="1">
              <a:extLst>
                <a:ext uri="{63B3BB69-23CF-44E3-9099-C40C66FF867C}">
                  <a14:compatExt spid="_x0000_s307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Donekle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41</xdr:row>
          <xdr:rowOff>123825</xdr:rowOff>
        </xdr:from>
        <xdr:to>
          <xdr:col>2</xdr:col>
          <xdr:colOff>390525</xdr:colOff>
          <xdr:row>43</xdr:row>
          <xdr:rowOff>19050</xdr:rowOff>
        </xdr:to>
        <xdr:sp macro="" textlink="">
          <xdr:nvSpPr>
            <xdr:cNvPr id="30750" name="Check Box 4" hidden="1">
              <a:extLst>
                <a:ext uri="{63B3BB69-23CF-44E3-9099-C40C66FF867C}">
                  <a14:compatExt spid="_x0000_s307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Da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41</xdr:row>
          <xdr:rowOff>123825</xdr:rowOff>
        </xdr:from>
        <xdr:to>
          <xdr:col>2</xdr:col>
          <xdr:colOff>790575</xdr:colOff>
          <xdr:row>43</xdr:row>
          <xdr:rowOff>19050</xdr:rowOff>
        </xdr:to>
        <xdr:sp macro="" textlink="">
          <xdr:nvSpPr>
            <xdr:cNvPr id="30751" name="Check Box 31" hidden="1">
              <a:extLst>
                <a:ext uri="{63B3BB69-23CF-44E3-9099-C40C66FF867C}">
                  <a14:compatExt spid="_x0000_s307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41</xdr:row>
          <xdr:rowOff>123825</xdr:rowOff>
        </xdr:from>
        <xdr:to>
          <xdr:col>3</xdr:col>
          <xdr:colOff>390525</xdr:colOff>
          <xdr:row>43</xdr:row>
          <xdr:rowOff>19050</xdr:rowOff>
        </xdr:to>
        <xdr:sp macro="" textlink="">
          <xdr:nvSpPr>
            <xdr:cNvPr id="30752" name="Check Box 6" hidden="1">
              <a:extLst>
                <a:ext uri="{63B3BB69-23CF-44E3-9099-C40C66FF867C}">
                  <a14:compatExt spid="_x0000_s307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Da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41</xdr:row>
          <xdr:rowOff>123825</xdr:rowOff>
        </xdr:from>
        <xdr:to>
          <xdr:col>3</xdr:col>
          <xdr:colOff>790575</xdr:colOff>
          <xdr:row>43</xdr:row>
          <xdr:rowOff>19050</xdr:rowOff>
        </xdr:to>
        <xdr:sp macro="" textlink="">
          <xdr:nvSpPr>
            <xdr:cNvPr id="30753" name="Check Box 7" hidden="1">
              <a:extLst>
                <a:ext uri="{63B3BB69-23CF-44E3-9099-C40C66FF867C}">
                  <a14:compatExt spid="_x0000_s307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123825</xdr:rowOff>
        </xdr:from>
        <xdr:to>
          <xdr:col>4</xdr:col>
          <xdr:colOff>390525</xdr:colOff>
          <xdr:row>43</xdr:row>
          <xdr:rowOff>19050</xdr:rowOff>
        </xdr:to>
        <xdr:sp macro="" textlink="">
          <xdr:nvSpPr>
            <xdr:cNvPr id="30754" name="Check Box 8" hidden="1">
              <a:extLst>
                <a:ext uri="{63B3BB69-23CF-44E3-9099-C40C66FF867C}">
                  <a14:compatExt spid="_x0000_s307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Da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428625</xdr:colOff>
          <xdr:row>41</xdr:row>
          <xdr:rowOff>123825</xdr:rowOff>
        </xdr:from>
        <xdr:to>
          <xdr:col>4</xdr:col>
          <xdr:colOff>790575</xdr:colOff>
          <xdr:row>43</xdr:row>
          <xdr:rowOff>19050</xdr:rowOff>
        </xdr:to>
        <xdr:sp macro="" textlink="">
          <xdr:nvSpPr>
            <xdr:cNvPr id="30755" name="Check Box 9" hidden="1">
              <a:extLst>
                <a:ext uri="{63B3BB69-23CF-44E3-9099-C40C66FF867C}">
                  <a14:compatExt spid="_x0000_s307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41</xdr:row>
          <xdr:rowOff>123825</xdr:rowOff>
        </xdr:from>
        <xdr:to>
          <xdr:col>5</xdr:col>
          <xdr:colOff>390525</xdr:colOff>
          <xdr:row>43</xdr:row>
          <xdr:rowOff>19050</xdr:rowOff>
        </xdr:to>
        <xdr:sp macro="" textlink="">
          <xdr:nvSpPr>
            <xdr:cNvPr id="30756" name="Check Box 10" hidden="1">
              <a:extLst>
                <a:ext uri="{63B3BB69-23CF-44E3-9099-C40C66FF867C}">
                  <a14:compatExt spid="_x0000_s307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Da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41</xdr:row>
          <xdr:rowOff>123825</xdr:rowOff>
        </xdr:from>
        <xdr:to>
          <xdr:col>5</xdr:col>
          <xdr:colOff>790575</xdr:colOff>
          <xdr:row>43</xdr:row>
          <xdr:rowOff>19050</xdr:rowOff>
        </xdr:to>
        <xdr:sp macro="" textlink="">
          <xdr:nvSpPr>
            <xdr:cNvPr id="30757" name="Check Box 11" hidden="1">
              <a:extLst>
                <a:ext uri="{63B3BB69-23CF-44E3-9099-C40C66FF867C}">
                  <a14:compatExt spid="_x0000_s307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51</xdr:row>
          <xdr:rowOff>123825</xdr:rowOff>
        </xdr:from>
        <xdr:to>
          <xdr:col>7</xdr:col>
          <xdr:colOff>390525</xdr:colOff>
          <xdr:row>53</xdr:row>
          <xdr:rowOff>19050</xdr:rowOff>
        </xdr:to>
        <xdr:sp macro="" textlink="">
          <xdr:nvSpPr>
            <xdr:cNvPr id="30759" name="Check Box 22" hidden="1">
              <a:extLst>
                <a:ext uri="{63B3BB69-23CF-44E3-9099-C40C66FF867C}">
                  <a14:compatExt spid="_x0000_s307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Da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428625</xdr:colOff>
          <xdr:row>51</xdr:row>
          <xdr:rowOff>123825</xdr:rowOff>
        </xdr:from>
        <xdr:to>
          <xdr:col>7</xdr:col>
          <xdr:colOff>790575</xdr:colOff>
          <xdr:row>53</xdr:row>
          <xdr:rowOff>19050</xdr:rowOff>
        </xdr:to>
        <xdr:sp macro="" textlink="">
          <xdr:nvSpPr>
            <xdr:cNvPr id="30760" name="Check Box 23" hidden="1">
              <a:extLst>
                <a:ext uri="{63B3BB69-23CF-44E3-9099-C40C66FF867C}">
                  <a14:compatExt spid="_x0000_s307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51</xdr:row>
          <xdr:rowOff>123825</xdr:rowOff>
        </xdr:from>
        <xdr:to>
          <xdr:col>5</xdr:col>
          <xdr:colOff>390525</xdr:colOff>
          <xdr:row>53</xdr:row>
          <xdr:rowOff>19050</xdr:rowOff>
        </xdr:to>
        <xdr:sp macro="" textlink="">
          <xdr:nvSpPr>
            <xdr:cNvPr id="30761" name="Check Box 20" hidden="1">
              <a:extLst>
                <a:ext uri="{63B3BB69-23CF-44E3-9099-C40C66FF867C}">
                  <a14:compatExt spid="_x0000_s307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Da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51</xdr:row>
          <xdr:rowOff>123825</xdr:rowOff>
        </xdr:from>
        <xdr:to>
          <xdr:col>5</xdr:col>
          <xdr:colOff>790575</xdr:colOff>
          <xdr:row>53</xdr:row>
          <xdr:rowOff>19050</xdr:rowOff>
        </xdr:to>
        <xdr:sp macro="" textlink="">
          <xdr:nvSpPr>
            <xdr:cNvPr id="30762" name="Check Box 21" hidden="1">
              <a:extLst>
                <a:ext uri="{63B3BB69-23CF-44E3-9099-C40C66FF867C}">
                  <a14:compatExt spid="_x0000_s307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53</xdr:row>
          <xdr:rowOff>123825</xdr:rowOff>
        </xdr:from>
        <xdr:to>
          <xdr:col>2</xdr:col>
          <xdr:colOff>790575</xdr:colOff>
          <xdr:row>55</xdr:row>
          <xdr:rowOff>19050</xdr:rowOff>
        </xdr:to>
        <xdr:sp macro="" textlink="">
          <xdr:nvSpPr>
            <xdr:cNvPr id="30765" name="Check Box 45" hidden="1">
              <a:extLst>
                <a:ext uri="{63B3BB69-23CF-44E3-9099-C40C66FF867C}">
                  <a14:compatExt spid="_x0000_s307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Da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53</xdr:row>
          <xdr:rowOff>123825</xdr:rowOff>
        </xdr:from>
        <xdr:to>
          <xdr:col>3</xdr:col>
          <xdr:colOff>381000</xdr:colOff>
          <xdr:row>55</xdr:row>
          <xdr:rowOff>19050</xdr:rowOff>
        </xdr:to>
        <xdr:sp macro="" textlink="">
          <xdr:nvSpPr>
            <xdr:cNvPr id="30766" name="Check Box 46" hidden="1">
              <a:extLst>
                <a:ext uri="{63B3BB69-23CF-44E3-9099-C40C66FF867C}">
                  <a14:compatExt spid="_x0000_s307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54</xdr:row>
          <xdr:rowOff>123825</xdr:rowOff>
        </xdr:from>
        <xdr:to>
          <xdr:col>2</xdr:col>
          <xdr:colOff>790575</xdr:colOff>
          <xdr:row>56</xdr:row>
          <xdr:rowOff>19050</xdr:rowOff>
        </xdr:to>
        <xdr:sp macro="" textlink="">
          <xdr:nvSpPr>
            <xdr:cNvPr id="30773" name="Check Box 53" hidden="1">
              <a:extLst>
                <a:ext uri="{63B3BB69-23CF-44E3-9099-C40C66FF867C}">
                  <a14:compatExt spid="_x0000_s307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Da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54</xdr:row>
          <xdr:rowOff>123825</xdr:rowOff>
        </xdr:from>
        <xdr:to>
          <xdr:col>3</xdr:col>
          <xdr:colOff>381000</xdr:colOff>
          <xdr:row>56</xdr:row>
          <xdr:rowOff>19050</xdr:rowOff>
        </xdr:to>
        <xdr:sp macro="" textlink="">
          <xdr:nvSpPr>
            <xdr:cNvPr id="30774" name="Check Box 54" hidden="1">
              <a:extLst>
                <a:ext uri="{63B3BB69-23CF-44E3-9099-C40C66FF867C}">
                  <a14:compatExt spid="_x0000_s307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41</xdr:row>
          <xdr:rowOff>123825</xdr:rowOff>
        </xdr:from>
        <xdr:to>
          <xdr:col>6</xdr:col>
          <xdr:colOff>390525</xdr:colOff>
          <xdr:row>43</xdr:row>
          <xdr:rowOff>19050</xdr:rowOff>
        </xdr:to>
        <xdr:sp macro="" textlink="">
          <xdr:nvSpPr>
            <xdr:cNvPr id="30777" name="Check Box 57" hidden="1">
              <a:extLst>
                <a:ext uri="{63B3BB69-23CF-44E3-9099-C40C66FF867C}">
                  <a14:compatExt spid="_x0000_s307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Da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41</xdr:row>
          <xdr:rowOff>123825</xdr:rowOff>
        </xdr:from>
        <xdr:to>
          <xdr:col>6</xdr:col>
          <xdr:colOff>790575</xdr:colOff>
          <xdr:row>43</xdr:row>
          <xdr:rowOff>19050</xdr:rowOff>
        </xdr:to>
        <xdr:sp macro="" textlink="">
          <xdr:nvSpPr>
            <xdr:cNvPr id="30778" name="Check Box 58" hidden="1">
              <a:extLst>
                <a:ext uri="{63B3BB69-23CF-44E3-9099-C40C66FF867C}">
                  <a14:compatExt spid="_x0000_s307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56</xdr:row>
          <xdr:rowOff>123825</xdr:rowOff>
        </xdr:from>
        <xdr:to>
          <xdr:col>2</xdr:col>
          <xdr:colOff>390525</xdr:colOff>
          <xdr:row>58</xdr:row>
          <xdr:rowOff>9525</xdr:rowOff>
        </xdr:to>
        <xdr:sp macro="" textlink="">
          <xdr:nvSpPr>
            <xdr:cNvPr id="30779" name="Check Box 59" hidden="1">
              <a:extLst>
                <a:ext uri="{63B3BB69-23CF-44E3-9099-C40C66FF867C}">
                  <a14:compatExt spid="_x0000_s307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Da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56</xdr:row>
          <xdr:rowOff>123825</xdr:rowOff>
        </xdr:from>
        <xdr:to>
          <xdr:col>2</xdr:col>
          <xdr:colOff>790575</xdr:colOff>
          <xdr:row>58</xdr:row>
          <xdr:rowOff>9525</xdr:rowOff>
        </xdr:to>
        <xdr:sp macro="" textlink="">
          <xdr:nvSpPr>
            <xdr:cNvPr id="30780" name="Check Box 60" hidden="1">
              <a:extLst>
                <a:ext uri="{63B3BB69-23CF-44E3-9099-C40C66FF867C}">
                  <a14:compatExt spid="_x0000_s307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352425</xdr:colOff>
          <xdr:row>56</xdr:row>
          <xdr:rowOff>123825</xdr:rowOff>
        </xdr:from>
        <xdr:to>
          <xdr:col>3</xdr:col>
          <xdr:colOff>790575</xdr:colOff>
          <xdr:row>58</xdr:row>
          <xdr:rowOff>9525</xdr:rowOff>
        </xdr:to>
        <xdr:sp macro="" textlink="">
          <xdr:nvSpPr>
            <xdr:cNvPr id="30781" name="Check Box 61" hidden="1">
              <a:extLst>
                <a:ext uri="{63B3BB69-23CF-44E3-9099-C40C66FF867C}">
                  <a14:compatExt spid="_x0000_s307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Nove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56</xdr:row>
          <xdr:rowOff>123825</xdr:rowOff>
        </xdr:from>
        <xdr:to>
          <xdr:col>4</xdr:col>
          <xdr:colOff>657225</xdr:colOff>
          <xdr:row>58</xdr:row>
          <xdr:rowOff>9525</xdr:rowOff>
        </xdr:to>
        <xdr:sp macro="" textlink="">
          <xdr:nvSpPr>
            <xdr:cNvPr id="30782" name="Check Box 62" hidden="1">
              <a:extLst>
                <a:ext uri="{63B3BB69-23CF-44E3-9099-C40C66FF867C}">
                  <a14:compatExt spid="_x0000_s307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Korištene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106</xdr:row>
          <xdr:rowOff>19050</xdr:rowOff>
        </xdr:from>
        <xdr:to>
          <xdr:col>7</xdr:col>
          <xdr:colOff>733425</xdr:colOff>
          <xdr:row>108</xdr:row>
          <xdr:rowOff>104775</xdr:rowOff>
        </xdr:to>
        <xdr:sp macro="" textlink="">
          <xdr:nvSpPr>
            <xdr:cNvPr id="30787" name="Label 67" hidden="1">
              <a:extLst>
                <a:ext uri="{63B3BB69-23CF-44E3-9099-C40C66FF867C}">
                  <a14:compatExt spid="_x0000_s30787"/>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hr-HR" sz="800" b="0" i="0" u="none" strike="noStrike" baseline="0">
                  <a:solidFill>
                    <a:srgbClr val="000000"/>
                  </a:solidFill>
                  <a:latin typeface="Tahoma"/>
                  <a:ea typeface="Tahoma"/>
                  <a:cs typeface="Tahoma"/>
                </a:rPr>
                <a: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75</xdr:row>
          <xdr:rowOff>123825</xdr:rowOff>
        </xdr:from>
        <xdr:to>
          <xdr:col>2</xdr:col>
          <xdr:colOff>428625</xdr:colOff>
          <xdr:row>77</xdr:row>
          <xdr:rowOff>19050</xdr:rowOff>
        </xdr:to>
        <xdr:sp macro="" textlink="">
          <xdr:nvSpPr>
            <xdr:cNvPr id="30793" name="Check Box 73" hidden="1">
              <a:extLst>
                <a:ext uri="{63B3BB69-23CF-44E3-9099-C40C66FF867C}">
                  <a14:compatExt spid="_x0000_s307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75</xdr:row>
          <xdr:rowOff>123825</xdr:rowOff>
        </xdr:from>
        <xdr:to>
          <xdr:col>2</xdr:col>
          <xdr:colOff>771525</xdr:colOff>
          <xdr:row>77</xdr:row>
          <xdr:rowOff>19050</xdr:rowOff>
        </xdr:to>
        <xdr:sp macro="" textlink="">
          <xdr:nvSpPr>
            <xdr:cNvPr id="30794" name="Check Box 74" hidden="1">
              <a:extLst>
                <a:ext uri="{63B3BB69-23CF-44E3-9099-C40C66FF867C}">
                  <a14:compatExt spid="_x0000_s307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75</xdr:row>
          <xdr:rowOff>123825</xdr:rowOff>
        </xdr:from>
        <xdr:to>
          <xdr:col>3</xdr:col>
          <xdr:colOff>314325</xdr:colOff>
          <xdr:row>77</xdr:row>
          <xdr:rowOff>19050</xdr:rowOff>
        </xdr:to>
        <xdr:sp macro="" textlink="">
          <xdr:nvSpPr>
            <xdr:cNvPr id="30795" name="Check Box 75" hidden="1">
              <a:extLst>
                <a:ext uri="{63B3BB69-23CF-44E3-9099-C40C66FF867C}">
                  <a14:compatExt spid="_x0000_s307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75</xdr:row>
          <xdr:rowOff>123825</xdr:rowOff>
        </xdr:from>
        <xdr:to>
          <xdr:col>3</xdr:col>
          <xdr:colOff>657225</xdr:colOff>
          <xdr:row>77</xdr:row>
          <xdr:rowOff>19050</xdr:rowOff>
        </xdr:to>
        <xdr:sp macro="" textlink="">
          <xdr:nvSpPr>
            <xdr:cNvPr id="30796" name="Check Box 76" hidden="1">
              <a:extLst>
                <a:ext uri="{63B3BB69-23CF-44E3-9099-C40C66FF867C}">
                  <a14:compatExt spid="_x0000_s307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Čet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75</xdr:row>
          <xdr:rowOff>123825</xdr:rowOff>
        </xdr:from>
        <xdr:to>
          <xdr:col>4</xdr:col>
          <xdr:colOff>200025</xdr:colOff>
          <xdr:row>77</xdr:row>
          <xdr:rowOff>19050</xdr:rowOff>
        </xdr:to>
        <xdr:sp macro="" textlink="">
          <xdr:nvSpPr>
            <xdr:cNvPr id="30797" name="Check Box 77" hidden="1">
              <a:extLst>
                <a:ext uri="{63B3BB69-23CF-44E3-9099-C40C66FF867C}">
                  <a14:compatExt spid="_x0000_s307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75</xdr:row>
          <xdr:rowOff>123825</xdr:rowOff>
        </xdr:from>
        <xdr:to>
          <xdr:col>4</xdr:col>
          <xdr:colOff>542925</xdr:colOff>
          <xdr:row>77</xdr:row>
          <xdr:rowOff>19050</xdr:rowOff>
        </xdr:to>
        <xdr:sp macro="" textlink="">
          <xdr:nvSpPr>
            <xdr:cNvPr id="30798" name="Check Box 78" hidden="1">
              <a:extLst>
                <a:ext uri="{63B3BB69-23CF-44E3-9099-C40C66FF867C}">
                  <a14:compatExt spid="_x0000_s307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Sub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75</xdr:row>
          <xdr:rowOff>123825</xdr:rowOff>
        </xdr:from>
        <xdr:to>
          <xdr:col>5</xdr:col>
          <xdr:colOff>85725</xdr:colOff>
          <xdr:row>77</xdr:row>
          <xdr:rowOff>19050</xdr:rowOff>
        </xdr:to>
        <xdr:sp macro="" textlink="">
          <xdr:nvSpPr>
            <xdr:cNvPr id="30799" name="Check Box 79" hidden="1">
              <a:extLst>
                <a:ext uri="{63B3BB69-23CF-44E3-9099-C40C66FF867C}">
                  <a14:compatExt spid="_x0000_s307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75</xdr:row>
          <xdr:rowOff>123825</xdr:rowOff>
        </xdr:from>
        <xdr:to>
          <xdr:col>5</xdr:col>
          <xdr:colOff>428625</xdr:colOff>
          <xdr:row>77</xdr:row>
          <xdr:rowOff>19050</xdr:rowOff>
        </xdr:to>
        <xdr:sp macro="" textlink="">
          <xdr:nvSpPr>
            <xdr:cNvPr id="30800" name="Check Box 80" hidden="1">
              <a:extLst>
                <a:ext uri="{63B3BB69-23CF-44E3-9099-C40C66FF867C}">
                  <a14:compatExt spid="_x0000_s308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75</xdr:row>
          <xdr:rowOff>123825</xdr:rowOff>
        </xdr:from>
        <xdr:to>
          <xdr:col>5</xdr:col>
          <xdr:colOff>781050</xdr:colOff>
          <xdr:row>77</xdr:row>
          <xdr:rowOff>19050</xdr:rowOff>
        </xdr:to>
        <xdr:sp macro="" textlink="">
          <xdr:nvSpPr>
            <xdr:cNvPr id="30815" name="Check Box 95" hidden="1">
              <a:extLst>
                <a:ext uri="{63B3BB69-23CF-44E3-9099-C40C66FF867C}">
                  <a14:compatExt spid="_x0000_s308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77</xdr:row>
          <xdr:rowOff>123825</xdr:rowOff>
        </xdr:from>
        <xdr:to>
          <xdr:col>2</xdr:col>
          <xdr:colOff>428625</xdr:colOff>
          <xdr:row>79</xdr:row>
          <xdr:rowOff>19050</xdr:rowOff>
        </xdr:to>
        <xdr:sp macro="" textlink="">
          <xdr:nvSpPr>
            <xdr:cNvPr id="30816" name="Check Box 96" hidden="1">
              <a:extLst>
                <a:ext uri="{63B3BB69-23CF-44E3-9099-C40C66FF867C}">
                  <a14:compatExt spid="_x0000_s308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77</xdr:row>
          <xdr:rowOff>123825</xdr:rowOff>
        </xdr:from>
        <xdr:to>
          <xdr:col>2</xdr:col>
          <xdr:colOff>771525</xdr:colOff>
          <xdr:row>79</xdr:row>
          <xdr:rowOff>19050</xdr:rowOff>
        </xdr:to>
        <xdr:sp macro="" textlink="">
          <xdr:nvSpPr>
            <xdr:cNvPr id="30817" name="Check Box 97" hidden="1">
              <a:extLst>
                <a:ext uri="{63B3BB69-23CF-44E3-9099-C40C66FF867C}">
                  <a14:compatExt spid="_x0000_s308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77</xdr:row>
          <xdr:rowOff>123825</xdr:rowOff>
        </xdr:from>
        <xdr:to>
          <xdr:col>3</xdr:col>
          <xdr:colOff>314325</xdr:colOff>
          <xdr:row>79</xdr:row>
          <xdr:rowOff>19050</xdr:rowOff>
        </xdr:to>
        <xdr:sp macro="" textlink="">
          <xdr:nvSpPr>
            <xdr:cNvPr id="30818" name="Check Box 98" hidden="1">
              <a:extLst>
                <a:ext uri="{63B3BB69-23CF-44E3-9099-C40C66FF867C}">
                  <a14:compatExt spid="_x0000_s308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77</xdr:row>
          <xdr:rowOff>123825</xdr:rowOff>
        </xdr:from>
        <xdr:to>
          <xdr:col>3</xdr:col>
          <xdr:colOff>657225</xdr:colOff>
          <xdr:row>79</xdr:row>
          <xdr:rowOff>19050</xdr:rowOff>
        </xdr:to>
        <xdr:sp macro="" textlink="">
          <xdr:nvSpPr>
            <xdr:cNvPr id="30819" name="Check Box 99" hidden="1">
              <a:extLst>
                <a:ext uri="{63B3BB69-23CF-44E3-9099-C40C66FF867C}">
                  <a14:compatExt spid="_x0000_s308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Čet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77</xdr:row>
          <xdr:rowOff>123825</xdr:rowOff>
        </xdr:from>
        <xdr:to>
          <xdr:col>4</xdr:col>
          <xdr:colOff>200025</xdr:colOff>
          <xdr:row>79</xdr:row>
          <xdr:rowOff>19050</xdr:rowOff>
        </xdr:to>
        <xdr:sp macro="" textlink="">
          <xdr:nvSpPr>
            <xdr:cNvPr id="30820" name="Check Box 100" hidden="1">
              <a:extLst>
                <a:ext uri="{63B3BB69-23CF-44E3-9099-C40C66FF867C}">
                  <a14:compatExt spid="_x0000_s308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77</xdr:row>
          <xdr:rowOff>123825</xdr:rowOff>
        </xdr:from>
        <xdr:to>
          <xdr:col>4</xdr:col>
          <xdr:colOff>542925</xdr:colOff>
          <xdr:row>79</xdr:row>
          <xdr:rowOff>19050</xdr:rowOff>
        </xdr:to>
        <xdr:sp macro="" textlink="">
          <xdr:nvSpPr>
            <xdr:cNvPr id="30821" name="Check Box 101" hidden="1">
              <a:extLst>
                <a:ext uri="{63B3BB69-23CF-44E3-9099-C40C66FF867C}">
                  <a14:compatExt spid="_x0000_s308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Sub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77</xdr:row>
          <xdr:rowOff>123825</xdr:rowOff>
        </xdr:from>
        <xdr:to>
          <xdr:col>5</xdr:col>
          <xdr:colOff>85725</xdr:colOff>
          <xdr:row>79</xdr:row>
          <xdr:rowOff>19050</xdr:rowOff>
        </xdr:to>
        <xdr:sp macro="" textlink="">
          <xdr:nvSpPr>
            <xdr:cNvPr id="30822" name="Check Box 102" hidden="1">
              <a:extLst>
                <a:ext uri="{63B3BB69-23CF-44E3-9099-C40C66FF867C}">
                  <a14:compatExt spid="_x0000_s308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77</xdr:row>
          <xdr:rowOff>123825</xdr:rowOff>
        </xdr:from>
        <xdr:to>
          <xdr:col>5</xdr:col>
          <xdr:colOff>428625</xdr:colOff>
          <xdr:row>79</xdr:row>
          <xdr:rowOff>19050</xdr:rowOff>
        </xdr:to>
        <xdr:sp macro="" textlink="">
          <xdr:nvSpPr>
            <xdr:cNvPr id="30823" name="Check Box 103" hidden="1">
              <a:extLst>
                <a:ext uri="{63B3BB69-23CF-44E3-9099-C40C66FF867C}">
                  <a14:compatExt spid="_x0000_s308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77</xdr:row>
          <xdr:rowOff>123825</xdr:rowOff>
        </xdr:from>
        <xdr:to>
          <xdr:col>5</xdr:col>
          <xdr:colOff>781050</xdr:colOff>
          <xdr:row>79</xdr:row>
          <xdr:rowOff>19050</xdr:rowOff>
        </xdr:to>
        <xdr:sp macro="" textlink="">
          <xdr:nvSpPr>
            <xdr:cNvPr id="30824" name="Check Box 104" hidden="1">
              <a:extLst>
                <a:ext uri="{63B3BB69-23CF-44E3-9099-C40C66FF867C}">
                  <a14:compatExt spid="_x0000_s308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79</xdr:row>
          <xdr:rowOff>123825</xdr:rowOff>
        </xdr:from>
        <xdr:to>
          <xdr:col>2</xdr:col>
          <xdr:colOff>428625</xdr:colOff>
          <xdr:row>81</xdr:row>
          <xdr:rowOff>19050</xdr:rowOff>
        </xdr:to>
        <xdr:sp macro="" textlink="">
          <xdr:nvSpPr>
            <xdr:cNvPr id="30825" name="Check Box 105" hidden="1">
              <a:extLst>
                <a:ext uri="{63B3BB69-23CF-44E3-9099-C40C66FF867C}">
                  <a14:compatExt spid="_x0000_s308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79</xdr:row>
          <xdr:rowOff>123825</xdr:rowOff>
        </xdr:from>
        <xdr:to>
          <xdr:col>2</xdr:col>
          <xdr:colOff>771525</xdr:colOff>
          <xdr:row>81</xdr:row>
          <xdr:rowOff>19050</xdr:rowOff>
        </xdr:to>
        <xdr:sp macro="" textlink="">
          <xdr:nvSpPr>
            <xdr:cNvPr id="30826" name="Check Box 106" hidden="1">
              <a:extLst>
                <a:ext uri="{63B3BB69-23CF-44E3-9099-C40C66FF867C}">
                  <a14:compatExt spid="_x0000_s308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79</xdr:row>
          <xdr:rowOff>123825</xdr:rowOff>
        </xdr:from>
        <xdr:to>
          <xdr:col>3</xdr:col>
          <xdr:colOff>314325</xdr:colOff>
          <xdr:row>81</xdr:row>
          <xdr:rowOff>19050</xdr:rowOff>
        </xdr:to>
        <xdr:sp macro="" textlink="">
          <xdr:nvSpPr>
            <xdr:cNvPr id="30827" name="Check Box 107" hidden="1">
              <a:extLst>
                <a:ext uri="{63B3BB69-23CF-44E3-9099-C40C66FF867C}">
                  <a14:compatExt spid="_x0000_s308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79</xdr:row>
          <xdr:rowOff>123825</xdr:rowOff>
        </xdr:from>
        <xdr:to>
          <xdr:col>3</xdr:col>
          <xdr:colOff>657225</xdr:colOff>
          <xdr:row>81</xdr:row>
          <xdr:rowOff>19050</xdr:rowOff>
        </xdr:to>
        <xdr:sp macro="" textlink="">
          <xdr:nvSpPr>
            <xdr:cNvPr id="30828" name="Check Box 108" hidden="1">
              <a:extLst>
                <a:ext uri="{63B3BB69-23CF-44E3-9099-C40C66FF867C}">
                  <a14:compatExt spid="_x0000_s308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Čet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79</xdr:row>
          <xdr:rowOff>123825</xdr:rowOff>
        </xdr:from>
        <xdr:to>
          <xdr:col>4</xdr:col>
          <xdr:colOff>200025</xdr:colOff>
          <xdr:row>81</xdr:row>
          <xdr:rowOff>19050</xdr:rowOff>
        </xdr:to>
        <xdr:sp macro="" textlink="">
          <xdr:nvSpPr>
            <xdr:cNvPr id="30829" name="Check Box 109" hidden="1">
              <a:extLst>
                <a:ext uri="{63B3BB69-23CF-44E3-9099-C40C66FF867C}">
                  <a14:compatExt spid="_x0000_s308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79</xdr:row>
          <xdr:rowOff>123825</xdr:rowOff>
        </xdr:from>
        <xdr:to>
          <xdr:col>4</xdr:col>
          <xdr:colOff>542925</xdr:colOff>
          <xdr:row>81</xdr:row>
          <xdr:rowOff>19050</xdr:rowOff>
        </xdr:to>
        <xdr:sp macro="" textlink="">
          <xdr:nvSpPr>
            <xdr:cNvPr id="30830" name="Check Box 110" hidden="1">
              <a:extLst>
                <a:ext uri="{63B3BB69-23CF-44E3-9099-C40C66FF867C}">
                  <a14:compatExt spid="_x0000_s308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Sub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79</xdr:row>
          <xdr:rowOff>123825</xdr:rowOff>
        </xdr:from>
        <xdr:to>
          <xdr:col>5</xdr:col>
          <xdr:colOff>85725</xdr:colOff>
          <xdr:row>81</xdr:row>
          <xdr:rowOff>19050</xdr:rowOff>
        </xdr:to>
        <xdr:sp macro="" textlink="">
          <xdr:nvSpPr>
            <xdr:cNvPr id="30831" name="Check Box 111" hidden="1">
              <a:extLst>
                <a:ext uri="{63B3BB69-23CF-44E3-9099-C40C66FF867C}">
                  <a14:compatExt spid="_x0000_s308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79</xdr:row>
          <xdr:rowOff>123825</xdr:rowOff>
        </xdr:from>
        <xdr:to>
          <xdr:col>5</xdr:col>
          <xdr:colOff>428625</xdr:colOff>
          <xdr:row>81</xdr:row>
          <xdr:rowOff>19050</xdr:rowOff>
        </xdr:to>
        <xdr:sp macro="" textlink="">
          <xdr:nvSpPr>
            <xdr:cNvPr id="30832" name="Check Box 112" hidden="1">
              <a:extLst>
                <a:ext uri="{63B3BB69-23CF-44E3-9099-C40C66FF867C}">
                  <a14:compatExt spid="_x0000_s3083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79</xdr:row>
          <xdr:rowOff>123825</xdr:rowOff>
        </xdr:from>
        <xdr:to>
          <xdr:col>5</xdr:col>
          <xdr:colOff>781050</xdr:colOff>
          <xdr:row>81</xdr:row>
          <xdr:rowOff>19050</xdr:rowOff>
        </xdr:to>
        <xdr:sp macro="" textlink="">
          <xdr:nvSpPr>
            <xdr:cNvPr id="30833" name="Check Box 113" hidden="1">
              <a:extLst>
                <a:ext uri="{63B3BB69-23CF-44E3-9099-C40C66FF867C}">
                  <a14:compatExt spid="_x0000_s3083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81</xdr:row>
          <xdr:rowOff>123825</xdr:rowOff>
        </xdr:from>
        <xdr:to>
          <xdr:col>2</xdr:col>
          <xdr:colOff>428625</xdr:colOff>
          <xdr:row>83</xdr:row>
          <xdr:rowOff>19050</xdr:rowOff>
        </xdr:to>
        <xdr:sp macro="" textlink="">
          <xdr:nvSpPr>
            <xdr:cNvPr id="30834" name="Check Box 114" hidden="1">
              <a:extLst>
                <a:ext uri="{63B3BB69-23CF-44E3-9099-C40C66FF867C}">
                  <a14:compatExt spid="_x0000_s308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81</xdr:row>
          <xdr:rowOff>123825</xdr:rowOff>
        </xdr:from>
        <xdr:to>
          <xdr:col>2</xdr:col>
          <xdr:colOff>771525</xdr:colOff>
          <xdr:row>83</xdr:row>
          <xdr:rowOff>19050</xdr:rowOff>
        </xdr:to>
        <xdr:sp macro="" textlink="">
          <xdr:nvSpPr>
            <xdr:cNvPr id="30835" name="Check Box 115" hidden="1">
              <a:extLst>
                <a:ext uri="{63B3BB69-23CF-44E3-9099-C40C66FF867C}">
                  <a14:compatExt spid="_x0000_s308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81</xdr:row>
          <xdr:rowOff>123825</xdr:rowOff>
        </xdr:from>
        <xdr:to>
          <xdr:col>3</xdr:col>
          <xdr:colOff>314325</xdr:colOff>
          <xdr:row>83</xdr:row>
          <xdr:rowOff>19050</xdr:rowOff>
        </xdr:to>
        <xdr:sp macro="" textlink="">
          <xdr:nvSpPr>
            <xdr:cNvPr id="30836" name="Check Box 116" hidden="1">
              <a:extLst>
                <a:ext uri="{63B3BB69-23CF-44E3-9099-C40C66FF867C}">
                  <a14:compatExt spid="_x0000_s308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81</xdr:row>
          <xdr:rowOff>123825</xdr:rowOff>
        </xdr:from>
        <xdr:to>
          <xdr:col>3</xdr:col>
          <xdr:colOff>657225</xdr:colOff>
          <xdr:row>83</xdr:row>
          <xdr:rowOff>19050</xdr:rowOff>
        </xdr:to>
        <xdr:sp macro="" textlink="">
          <xdr:nvSpPr>
            <xdr:cNvPr id="30837" name="Check Box 117" hidden="1">
              <a:extLst>
                <a:ext uri="{63B3BB69-23CF-44E3-9099-C40C66FF867C}">
                  <a14:compatExt spid="_x0000_s308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Čet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81</xdr:row>
          <xdr:rowOff>123825</xdr:rowOff>
        </xdr:from>
        <xdr:to>
          <xdr:col>4</xdr:col>
          <xdr:colOff>200025</xdr:colOff>
          <xdr:row>83</xdr:row>
          <xdr:rowOff>19050</xdr:rowOff>
        </xdr:to>
        <xdr:sp macro="" textlink="">
          <xdr:nvSpPr>
            <xdr:cNvPr id="30838" name="Check Box 118" hidden="1">
              <a:extLst>
                <a:ext uri="{63B3BB69-23CF-44E3-9099-C40C66FF867C}">
                  <a14:compatExt spid="_x0000_s308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81</xdr:row>
          <xdr:rowOff>123825</xdr:rowOff>
        </xdr:from>
        <xdr:to>
          <xdr:col>4</xdr:col>
          <xdr:colOff>542925</xdr:colOff>
          <xdr:row>83</xdr:row>
          <xdr:rowOff>19050</xdr:rowOff>
        </xdr:to>
        <xdr:sp macro="" textlink="">
          <xdr:nvSpPr>
            <xdr:cNvPr id="30839" name="Check Box 119" hidden="1">
              <a:extLst>
                <a:ext uri="{63B3BB69-23CF-44E3-9099-C40C66FF867C}">
                  <a14:compatExt spid="_x0000_s308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Sub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81</xdr:row>
          <xdr:rowOff>123825</xdr:rowOff>
        </xdr:from>
        <xdr:to>
          <xdr:col>5</xdr:col>
          <xdr:colOff>85725</xdr:colOff>
          <xdr:row>83</xdr:row>
          <xdr:rowOff>19050</xdr:rowOff>
        </xdr:to>
        <xdr:sp macro="" textlink="">
          <xdr:nvSpPr>
            <xdr:cNvPr id="30840" name="Check Box 120" hidden="1">
              <a:extLst>
                <a:ext uri="{63B3BB69-23CF-44E3-9099-C40C66FF867C}">
                  <a14:compatExt spid="_x0000_s308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81</xdr:row>
          <xdr:rowOff>123825</xdr:rowOff>
        </xdr:from>
        <xdr:to>
          <xdr:col>5</xdr:col>
          <xdr:colOff>428625</xdr:colOff>
          <xdr:row>83</xdr:row>
          <xdr:rowOff>19050</xdr:rowOff>
        </xdr:to>
        <xdr:sp macro="" textlink="">
          <xdr:nvSpPr>
            <xdr:cNvPr id="30841" name="Check Box 121" hidden="1">
              <a:extLst>
                <a:ext uri="{63B3BB69-23CF-44E3-9099-C40C66FF867C}">
                  <a14:compatExt spid="_x0000_s308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81</xdr:row>
          <xdr:rowOff>123825</xdr:rowOff>
        </xdr:from>
        <xdr:to>
          <xdr:col>5</xdr:col>
          <xdr:colOff>781050</xdr:colOff>
          <xdr:row>83</xdr:row>
          <xdr:rowOff>19050</xdr:rowOff>
        </xdr:to>
        <xdr:sp macro="" textlink="">
          <xdr:nvSpPr>
            <xdr:cNvPr id="30842" name="Check Box 122" hidden="1">
              <a:extLst>
                <a:ext uri="{63B3BB69-23CF-44E3-9099-C40C66FF867C}">
                  <a14:compatExt spid="_x0000_s308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83</xdr:row>
          <xdr:rowOff>123825</xdr:rowOff>
        </xdr:from>
        <xdr:to>
          <xdr:col>2</xdr:col>
          <xdr:colOff>428625</xdr:colOff>
          <xdr:row>85</xdr:row>
          <xdr:rowOff>19050</xdr:rowOff>
        </xdr:to>
        <xdr:sp macro="" textlink="">
          <xdr:nvSpPr>
            <xdr:cNvPr id="30843" name="Check Box 123" hidden="1">
              <a:extLst>
                <a:ext uri="{63B3BB69-23CF-44E3-9099-C40C66FF867C}">
                  <a14:compatExt spid="_x0000_s308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83</xdr:row>
          <xdr:rowOff>123825</xdr:rowOff>
        </xdr:from>
        <xdr:to>
          <xdr:col>2</xdr:col>
          <xdr:colOff>771525</xdr:colOff>
          <xdr:row>85</xdr:row>
          <xdr:rowOff>19050</xdr:rowOff>
        </xdr:to>
        <xdr:sp macro="" textlink="">
          <xdr:nvSpPr>
            <xdr:cNvPr id="30844" name="Check Box 124" hidden="1">
              <a:extLst>
                <a:ext uri="{63B3BB69-23CF-44E3-9099-C40C66FF867C}">
                  <a14:compatExt spid="_x0000_s308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83</xdr:row>
          <xdr:rowOff>123825</xdr:rowOff>
        </xdr:from>
        <xdr:to>
          <xdr:col>3</xdr:col>
          <xdr:colOff>314325</xdr:colOff>
          <xdr:row>85</xdr:row>
          <xdr:rowOff>19050</xdr:rowOff>
        </xdr:to>
        <xdr:sp macro="" textlink="">
          <xdr:nvSpPr>
            <xdr:cNvPr id="30845" name="Check Box 125" hidden="1">
              <a:extLst>
                <a:ext uri="{63B3BB69-23CF-44E3-9099-C40C66FF867C}">
                  <a14:compatExt spid="_x0000_s308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83</xdr:row>
          <xdr:rowOff>123825</xdr:rowOff>
        </xdr:from>
        <xdr:to>
          <xdr:col>3</xdr:col>
          <xdr:colOff>657225</xdr:colOff>
          <xdr:row>85</xdr:row>
          <xdr:rowOff>19050</xdr:rowOff>
        </xdr:to>
        <xdr:sp macro="" textlink="">
          <xdr:nvSpPr>
            <xdr:cNvPr id="30846" name="Check Box 126" hidden="1">
              <a:extLst>
                <a:ext uri="{63B3BB69-23CF-44E3-9099-C40C66FF867C}">
                  <a14:compatExt spid="_x0000_s308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Čet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83</xdr:row>
          <xdr:rowOff>123825</xdr:rowOff>
        </xdr:from>
        <xdr:to>
          <xdr:col>4</xdr:col>
          <xdr:colOff>200025</xdr:colOff>
          <xdr:row>85</xdr:row>
          <xdr:rowOff>19050</xdr:rowOff>
        </xdr:to>
        <xdr:sp macro="" textlink="">
          <xdr:nvSpPr>
            <xdr:cNvPr id="30847" name="Check Box 127" hidden="1">
              <a:extLst>
                <a:ext uri="{63B3BB69-23CF-44E3-9099-C40C66FF867C}">
                  <a14:compatExt spid="_x0000_s308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83</xdr:row>
          <xdr:rowOff>123825</xdr:rowOff>
        </xdr:from>
        <xdr:to>
          <xdr:col>4</xdr:col>
          <xdr:colOff>542925</xdr:colOff>
          <xdr:row>85</xdr:row>
          <xdr:rowOff>19050</xdr:rowOff>
        </xdr:to>
        <xdr:sp macro="" textlink="">
          <xdr:nvSpPr>
            <xdr:cNvPr id="30848" name="Check Box 128" hidden="1">
              <a:extLst>
                <a:ext uri="{63B3BB69-23CF-44E3-9099-C40C66FF867C}">
                  <a14:compatExt spid="_x0000_s308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Sub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83</xdr:row>
          <xdr:rowOff>123825</xdr:rowOff>
        </xdr:from>
        <xdr:to>
          <xdr:col>5</xdr:col>
          <xdr:colOff>85725</xdr:colOff>
          <xdr:row>85</xdr:row>
          <xdr:rowOff>19050</xdr:rowOff>
        </xdr:to>
        <xdr:sp macro="" textlink="">
          <xdr:nvSpPr>
            <xdr:cNvPr id="30849" name="Check Box 129" hidden="1">
              <a:extLst>
                <a:ext uri="{63B3BB69-23CF-44E3-9099-C40C66FF867C}">
                  <a14:compatExt spid="_x0000_s308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83</xdr:row>
          <xdr:rowOff>123825</xdr:rowOff>
        </xdr:from>
        <xdr:to>
          <xdr:col>5</xdr:col>
          <xdr:colOff>428625</xdr:colOff>
          <xdr:row>85</xdr:row>
          <xdr:rowOff>19050</xdr:rowOff>
        </xdr:to>
        <xdr:sp macro="" textlink="">
          <xdr:nvSpPr>
            <xdr:cNvPr id="30850" name="Check Box 130" hidden="1">
              <a:extLst>
                <a:ext uri="{63B3BB69-23CF-44E3-9099-C40C66FF867C}">
                  <a14:compatExt spid="_x0000_s308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83</xdr:row>
          <xdr:rowOff>123825</xdr:rowOff>
        </xdr:from>
        <xdr:to>
          <xdr:col>5</xdr:col>
          <xdr:colOff>781050</xdr:colOff>
          <xdr:row>85</xdr:row>
          <xdr:rowOff>19050</xdr:rowOff>
        </xdr:to>
        <xdr:sp macro="" textlink="">
          <xdr:nvSpPr>
            <xdr:cNvPr id="30851" name="Check Box 131" hidden="1">
              <a:extLst>
                <a:ext uri="{63B3BB69-23CF-44E3-9099-C40C66FF867C}">
                  <a14:compatExt spid="_x0000_s308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85</xdr:row>
          <xdr:rowOff>123825</xdr:rowOff>
        </xdr:from>
        <xdr:to>
          <xdr:col>2</xdr:col>
          <xdr:colOff>428625</xdr:colOff>
          <xdr:row>87</xdr:row>
          <xdr:rowOff>19050</xdr:rowOff>
        </xdr:to>
        <xdr:sp macro="" textlink="">
          <xdr:nvSpPr>
            <xdr:cNvPr id="30852" name="Check Box 132" hidden="1">
              <a:extLst>
                <a:ext uri="{63B3BB69-23CF-44E3-9099-C40C66FF867C}">
                  <a14:compatExt spid="_x0000_s308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85</xdr:row>
          <xdr:rowOff>123825</xdr:rowOff>
        </xdr:from>
        <xdr:to>
          <xdr:col>2</xdr:col>
          <xdr:colOff>771525</xdr:colOff>
          <xdr:row>87</xdr:row>
          <xdr:rowOff>19050</xdr:rowOff>
        </xdr:to>
        <xdr:sp macro="" textlink="">
          <xdr:nvSpPr>
            <xdr:cNvPr id="30853" name="Check Box 133" hidden="1">
              <a:extLst>
                <a:ext uri="{63B3BB69-23CF-44E3-9099-C40C66FF867C}">
                  <a14:compatExt spid="_x0000_s308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85</xdr:row>
          <xdr:rowOff>123825</xdr:rowOff>
        </xdr:from>
        <xdr:to>
          <xdr:col>3</xdr:col>
          <xdr:colOff>314325</xdr:colOff>
          <xdr:row>87</xdr:row>
          <xdr:rowOff>19050</xdr:rowOff>
        </xdr:to>
        <xdr:sp macro="" textlink="">
          <xdr:nvSpPr>
            <xdr:cNvPr id="30854" name="Check Box 134" hidden="1">
              <a:extLst>
                <a:ext uri="{63B3BB69-23CF-44E3-9099-C40C66FF867C}">
                  <a14:compatExt spid="_x0000_s308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85</xdr:row>
          <xdr:rowOff>123825</xdr:rowOff>
        </xdr:from>
        <xdr:to>
          <xdr:col>3</xdr:col>
          <xdr:colOff>657225</xdr:colOff>
          <xdr:row>87</xdr:row>
          <xdr:rowOff>19050</xdr:rowOff>
        </xdr:to>
        <xdr:sp macro="" textlink="">
          <xdr:nvSpPr>
            <xdr:cNvPr id="30855" name="Check Box 135" hidden="1">
              <a:extLst>
                <a:ext uri="{63B3BB69-23CF-44E3-9099-C40C66FF867C}">
                  <a14:compatExt spid="_x0000_s308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Čet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85</xdr:row>
          <xdr:rowOff>123825</xdr:rowOff>
        </xdr:from>
        <xdr:to>
          <xdr:col>4</xdr:col>
          <xdr:colOff>200025</xdr:colOff>
          <xdr:row>87</xdr:row>
          <xdr:rowOff>19050</xdr:rowOff>
        </xdr:to>
        <xdr:sp macro="" textlink="">
          <xdr:nvSpPr>
            <xdr:cNvPr id="30856" name="Check Box 136" hidden="1">
              <a:extLst>
                <a:ext uri="{63B3BB69-23CF-44E3-9099-C40C66FF867C}">
                  <a14:compatExt spid="_x0000_s308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85</xdr:row>
          <xdr:rowOff>123825</xdr:rowOff>
        </xdr:from>
        <xdr:to>
          <xdr:col>4</xdr:col>
          <xdr:colOff>542925</xdr:colOff>
          <xdr:row>87</xdr:row>
          <xdr:rowOff>19050</xdr:rowOff>
        </xdr:to>
        <xdr:sp macro="" textlink="">
          <xdr:nvSpPr>
            <xdr:cNvPr id="30857" name="Check Box 137" hidden="1">
              <a:extLst>
                <a:ext uri="{63B3BB69-23CF-44E3-9099-C40C66FF867C}">
                  <a14:compatExt spid="_x0000_s308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Sub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85</xdr:row>
          <xdr:rowOff>123825</xdr:rowOff>
        </xdr:from>
        <xdr:to>
          <xdr:col>5</xdr:col>
          <xdr:colOff>85725</xdr:colOff>
          <xdr:row>87</xdr:row>
          <xdr:rowOff>19050</xdr:rowOff>
        </xdr:to>
        <xdr:sp macro="" textlink="">
          <xdr:nvSpPr>
            <xdr:cNvPr id="30858" name="Check Box 138" hidden="1">
              <a:extLst>
                <a:ext uri="{63B3BB69-23CF-44E3-9099-C40C66FF867C}">
                  <a14:compatExt spid="_x0000_s308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85</xdr:row>
          <xdr:rowOff>123825</xdr:rowOff>
        </xdr:from>
        <xdr:to>
          <xdr:col>5</xdr:col>
          <xdr:colOff>428625</xdr:colOff>
          <xdr:row>87</xdr:row>
          <xdr:rowOff>19050</xdr:rowOff>
        </xdr:to>
        <xdr:sp macro="" textlink="">
          <xdr:nvSpPr>
            <xdr:cNvPr id="30859" name="Check Box 139" hidden="1">
              <a:extLst>
                <a:ext uri="{63B3BB69-23CF-44E3-9099-C40C66FF867C}">
                  <a14:compatExt spid="_x0000_s308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85</xdr:row>
          <xdr:rowOff>123825</xdr:rowOff>
        </xdr:from>
        <xdr:to>
          <xdr:col>5</xdr:col>
          <xdr:colOff>781050</xdr:colOff>
          <xdr:row>87</xdr:row>
          <xdr:rowOff>19050</xdr:rowOff>
        </xdr:to>
        <xdr:sp macro="" textlink="">
          <xdr:nvSpPr>
            <xdr:cNvPr id="30860" name="Check Box 140" hidden="1">
              <a:extLst>
                <a:ext uri="{63B3BB69-23CF-44E3-9099-C40C66FF867C}">
                  <a14:compatExt spid="_x0000_s308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87</xdr:row>
          <xdr:rowOff>123825</xdr:rowOff>
        </xdr:from>
        <xdr:to>
          <xdr:col>2</xdr:col>
          <xdr:colOff>428625</xdr:colOff>
          <xdr:row>89</xdr:row>
          <xdr:rowOff>19050</xdr:rowOff>
        </xdr:to>
        <xdr:sp macro="" textlink="">
          <xdr:nvSpPr>
            <xdr:cNvPr id="30861" name="Check Box 141" hidden="1">
              <a:extLst>
                <a:ext uri="{63B3BB69-23CF-44E3-9099-C40C66FF867C}">
                  <a14:compatExt spid="_x0000_s308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87</xdr:row>
          <xdr:rowOff>123825</xdr:rowOff>
        </xdr:from>
        <xdr:to>
          <xdr:col>2</xdr:col>
          <xdr:colOff>771525</xdr:colOff>
          <xdr:row>89</xdr:row>
          <xdr:rowOff>19050</xdr:rowOff>
        </xdr:to>
        <xdr:sp macro="" textlink="">
          <xdr:nvSpPr>
            <xdr:cNvPr id="30862" name="Check Box 142" hidden="1">
              <a:extLst>
                <a:ext uri="{63B3BB69-23CF-44E3-9099-C40C66FF867C}">
                  <a14:compatExt spid="_x0000_s308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87</xdr:row>
          <xdr:rowOff>123825</xdr:rowOff>
        </xdr:from>
        <xdr:to>
          <xdr:col>3</xdr:col>
          <xdr:colOff>314325</xdr:colOff>
          <xdr:row>89</xdr:row>
          <xdr:rowOff>19050</xdr:rowOff>
        </xdr:to>
        <xdr:sp macro="" textlink="">
          <xdr:nvSpPr>
            <xdr:cNvPr id="30863" name="Check Box 143" hidden="1">
              <a:extLst>
                <a:ext uri="{63B3BB69-23CF-44E3-9099-C40C66FF867C}">
                  <a14:compatExt spid="_x0000_s308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87</xdr:row>
          <xdr:rowOff>123825</xdr:rowOff>
        </xdr:from>
        <xdr:to>
          <xdr:col>3</xdr:col>
          <xdr:colOff>657225</xdr:colOff>
          <xdr:row>89</xdr:row>
          <xdr:rowOff>19050</xdr:rowOff>
        </xdr:to>
        <xdr:sp macro="" textlink="">
          <xdr:nvSpPr>
            <xdr:cNvPr id="30864" name="Check Box 144" hidden="1">
              <a:extLst>
                <a:ext uri="{63B3BB69-23CF-44E3-9099-C40C66FF867C}">
                  <a14:compatExt spid="_x0000_s308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Čet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87</xdr:row>
          <xdr:rowOff>123825</xdr:rowOff>
        </xdr:from>
        <xdr:to>
          <xdr:col>4</xdr:col>
          <xdr:colOff>200025</xdr:colOff>
          <xdr:row>89</xdr:row>
          <xdr:rowOff>19050</xdr:rowOff>
        </xdr:to>
        <xdr:sp macro="" textlink="">
          <xdr:nvSpPr>
            <xdr:cNvPr id="30865" name="Check Box 145" hidden="1">
              <a:extLst>
                <a:ext uri="{63B3BB69-23CF-44E3-9099-C40C66FF867C}">
                  <a14:compatExt spid="_x0000_s308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87</xdr:row>
          <xdr:rowOff>123825</xdr:rowOff>
        </xdr:from>
        <xdr:to>
          <xdr:col>4</xdr:col>
          <xdr:colOff>542925</xdr:colOff>
          <xdr:row>89</xdr:row>
          <xdr:rowOff>19050</xdr:rowOff>
        </xdr:to>
        <xdr:sp macro="" textlink="">
          <xdr:nvSpPr>
            <xdr:cNvPr id="30866" name="Check Box 146" hidden="1">
              <a:extLst>
                <a:ext uri="{63B3BB69-23CF-44E3-9099-C40C66FF867C}">
                  <a14:compatExt spid="_x0000_s308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Sub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87</xdr:row>
          <xdr:rowOff>123825</xdr:rowOff>
        </xdr:from>
        <xdr:to>
          <xdr:col>5</xdr:col>
          <xdr:colOff>85725</xdr:colOff>
          <xdr:row>89</xdr:row>
          <xdr:rowOff>19050</xdr:rowOff>
        </xdr:to>
        <xdr:sp macro="" textlink="">
          <xdr:nvSpPr>
            <xdr:cNvPr id="30867" name="Check Box 147" hidden="1">
              <a:extLst>
                <a:ext uri="{63B3BB69-23CF-44E3-9099-C40C66FF867C}">
                  <a14:compatExt spid="_x0000_s308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87</xdr:row>
          <xdr:rowOff>123825</xdr:rowOff>
        </xdr:from>
        <xdr:to>
          <xdr:col>5</xdr:col>
          <xdr:colOff>428625</xdr:colOff>
          <xdr:row>89</xdr:row>
          <xdr:rowOff>19050</xdr:rowOff>
        </xdr:to>
        <xdr:sp macro="" textlink="">
          <xdr:nvSpPr>
            <xdr:cNvPr id="30868" name="Check Box 148" hidden="1">
              <a:extLst>
                <a:ext uri="{63B3BB69-23CF-44E3-9099-C40C66FF867C}">
                  <a14:compatExt spid="_x0000_s308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87</xdr:row>
          <xdr:rowOff>123825</xdr:rowOff>
        </xdr:from>
        <xdr:to>
          <xdr:col>5</xdr:col>
          <xdr:colOff>781050</xdr:colOff>
          <xdr:row>89</xdr:row>
          <xdr:rowOff>19050</xdr:rowOff>
        </xdr:to>
        <xdr:sp macro="" textlink="">
          <xdr:nvSpPr>
            <xdr:cNvPr id="30869" name="Check Box 149" hidden="1">
              <a:extLst>
                <a:ext uri="{63B3BB69-23CF-44E3-9099-C40C66FF867C}">
                  <a14:compatExt spid="_x0000_s308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89</xdr:row>
          <xdr:rowOff>123825</xdr:rowOff>
        </xdr:from>
        <xdr:to>
          <xdr:col>2</xdr:col>
          <xdr:colOff>428625</xdr:colOff>
          <xdr:row>91</xdr:row>
          <xdr:rowOff>19050</xdr:rowOff>
        </xdr:to>
        <xdr:sp macro="" textlink="">
          <xdr:nvSpPr>
            <xdr:cNvPr id="30870" name="Check Box 150" hidden="1">
              <a:extLst>
                <a:ext uri="{63B3BB69-23CF-44E3-9099-C40C66FF867C}">
                  <a14:compatExt spid="_x0000_s308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89</xdr:row>
          <xdr:rowOff>123825</xdr:rowOff>
        </xdr:from>
        <xdr:to>
          <xdr:col>2</xdr:col>
          <xdr:colOff>771525</xdr:colOff>
          <xdr:row>91</xdr:row>
          <xdr:rowOff>19050</xdr:rowOff>
        </xdr:to>
        <xdr:sp macro="" textlink="">
          <xdr:nvSpPr>
            <xdr:cNvPr id="30871" name="Check Box 151" hidden="1">
              <a:extLst>
                <a:ext uri="{63B3BB69-23CF-44E3-9099-C40C66FF867C}">
                  <a14:compatExt spid="_x0000_s308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89</xdr:row>
          <xdr:rowOff>123825</xdr:rowOff>
        </xdr:from>
        <xdr:to>
          <xdr:col>3</xdr:col>
          <xdr:colOff>314325</xdr:colOff>
          <xdr:row>91</xdr:row>
          <xdr:rowOff>19050</xdr:rowOff>
        </xdr:to>
        <xdr:sp macro="" textlink="">
          <xdr:nvSpPr>
            <xdr:cNvPr id="30872" name="Check Box 152" hidden="1">
              <a:extLst>
                <a:ext uri="{63B3BB69-23CF-44E3-9099-C40C66FF867C}">
                  <a14:compatExt spid="_x0000_s308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89</xdr:row>
          <xdr:rowOff>123825</xdr:rowOff>
        </xdr:from>
        <xdr:to>
          <xdr:col>3</xdr:col>
          <xdr:colOff>657225</xdr:colOff>
          <xdr:row>91</xdr:row>
          <xdr:rowOff>19050</xdr:rowOff>
        </xdr:to>
        <xdr:sp macro="" textlink="">
          <xdr:nvSpPr>
            <xdr:cNvPr id="30873" name="Check Box 153" hidden="1">
              <a:extLst>
                <a:ext uri="{63B3BB69-23CF-44E3-9099-C40C66FF867C}">
                  <a14:compatExt spid="_x0000_s308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Čet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89</xdr:row>
          <xdr:rowOff>123825</xdr:rowOff>
        </xdr:from>
        <xdr:to>
          <xdr:col>4</xdr:col>
          <xdr:colOff>200025</xdr:colOff>
          <xdr:row>91</xdr:row>
          <xdr:rowOff>19050</xdr:rowOff>
        </xdr:to>
        <xdr:sp macro="" textlink="">
          <xdr:nvSpPr>
            <xdr:cNvPr id="30874" name="Check Box 154" hidden="1">
              <a:extLst>
                <a:ext uri="{63B3BB69-23CF-44E3-9099-C40C66FF867C}">
                  <a14:compatExt spid="_x0000_s308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89</xdr:row>
          <xdr:rowOff>123825</xdr:rowOff>
        </xdr:from>
        <xdr:to>
          <xdr:col>4</xdr:col>
          <xdr:colOff>542925</xdr:colOff>
          <xdr:row>91</xdr:row>
          <xdr:rowOff>19050</xdr:rowOff>
        </xdr:to>
        <xdr:sp macro="" textlink="">
          <xdr:nvSpPr>
            <xdr:cNvPr id="30875" name="Check Box 155" hidden="1">
              <a:extLst>
                <a:ext uri="{63B3BB69-23CF-44E3-9099-C40C66FF867C}">
                  <a14:compatExt spid="_x0000_s308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Sub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89</xdr:row>
          <xdr:rowOff>123825</xdr:rowOff>
        </xdr:from>
        <xdr:to>
          <xdr:col>5</xdr:col>
          <xdr:colOff>85725</xdr:colOff>
          <xdr:row>91</xdr:row>
          <xdr:rowOff>19050</xdr:rowOff>
        </xdr:to>
        <xdr:sp macro="" textlink="">
          <xdr:nvSpPr>
            <xdr:cNvPr id="30876" name="Check Box 156" hidden="1">
              <a:extLst>
                <a:ext uri="{63B3BB69-23CF-44E3-9099-C40C66FF867C}">
                  <a14:compatExt spid="_x0000_s308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89</xdr:row>
          <xdr:rowOff>123825</xdr:rowOff>
        </xdr:from>
        <xdr:to>
          <xdr:col>5</xdr:col>
          <xdr:colOff>428625</xdr:colOff>
          <xdr:row>91</xdr:row>
          <xdr:rowOff>19050</xdr:rowOff>
        </xdr:to>
        <xdr:sp macro="" textlink="">
          <xdr:nvSpPr>
            <xdr:cNvPr id="30877" name="Check Box 157" hidden="1">
              <a:extLst>
                <a:ext uri="{63B3BB69-23CF-44E3-9099-C40C66FF867C}">
                  <a14:compatExt spid="_x0000_s308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89</xdr:row>
          <xdr:rowOff>123825</xdr:rowOff>
        </xdr:from>
        <xdr:to>
          <xdr:col>5</xdr:col>
          <xdr:colOff>781050</xdr:colOff>
          <xdr:row>91</xdr:row>
          <xdr:rowOff>19050</xdr:rowOff>
        </xdr:to>
        <xdr:sp macro="" textlink="">
          <xdr:nvSpPr>
            <xdr:cNvPr id="30878" name="Check Box 158" hidden="1">
              <a:extLst>
                <a:ext uri="{63B3BB69-23CF-44E3-9099-C40C66FF867C}">
                  <a14:compatExt spid="_x0000_s308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91</xdr:row>
          <xdr:rowOff>123825</xdr:rowOff>
        </xdr:from>
        <xdr:to>
          <xdr:col>2</xdr:col>
          <xdr:colOff>428625</xdr:colOff>
          <xdr:row>93</xdr:row>
          <xdr:rowOff>19050</xdr:rowOff>
        </xdr:to>
        <xdr:sp macro="" textlink="">
          <xdr:nvSpPr>
            <xdr:cNvPr id="30879" name="Check Box 159" hidden="1">
              <a:extLst>
                <a:ext uri="{63B3BB69-23CF-44E3-9099-C40C66FF867C}">
                  <a14:compatExt spid="_x0000_s308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91</xdr:row>
          <xdr:rowOff>123825</xdr:rowOff>
        </xdr:from>
        <xdr:to>
          <xdr:col>2</xdr:col>
          <xdr:colOff>771525</xdr:colOff>
          <xdr:row>93</xdr:row>
          <xdr:rowOff>19050</xdr:rowOff>
        </xdr:to>
        <xdr:sp macro="" textlink="">
          <xdr:nvSpPr>
            <xdr:cNvPr id="30880" name="Check Box 160" hidden="1">
              <a:extLst>
                <a:ext uri="{63B3BB69-23CF-44E3-9099-C40C66FF867C}">
                  <a14:compatExt spid="_x0000_s308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91</xdr:row>
          <xdr:rowOff>123825</xdr:rowOff>
        </xdr:from>
        <xdr:to>
          <xdr:col>3</xdr:col>
          <xdr:colOff>314325</xdr:colOff>
          <xdr:row>93</xdr:row>
          <xdr:rowOff>19050</xdr:rowOff>
        </xdr:to>
        <xdr:sp macro="" textlink="">
          <xdr:nvSpPr>
            <xdr:cNvPr id="30881" name="Check Box 161" hidden="1">
              <a:extLst>
                <a:ext uri="{63B3BB69-23CF-44E3-9099-C40C66FF867C}">
                  <a14:compatExt spid="_x0000_s308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91</xdr:row>
          <xdr:rowOff>123825</xdr:rowOff>
        </xdr:from>
        <xdr:to>
          <xdr:col>3</xdr:col>
          <xdr:colOff>657225</xdr:colOff>
          <xdr:row>93</xdr:row>
          <xdr:rowOff>19050</xdr:rowOff>
        </xdr:to>
        <xdr:sp macro="" textlink="">
          <xdr:nvSpPr>
            <xdr:cNvPr id="30882" name="Check Box 162" hidden="1">
              <a:extLst>
                <a:ext uri="{63B3BB69-23CF-44E3-9099-C40C66FF867C}">
                  <a14:compatExt spid="_x0000_s308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Čet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91</xdr:row>
          <xdr:rowOff>123825</xdr:rowOff>
        </xdr:from>
        <xdr:to>
          <xdr:col>4</xdr:col>
          <xdr:colOff>200025</xdr:colOff>
          <xdr:row>93</xdr:row>
          <xdr:rowOff>19050</xdr:rowOff>
        </xdr:to>
        <xdr:sp macro="" textlink="">
          <xdr:nvSpPr>
            <xdr:cNvPr id="30883" name="Check Box 163" hidden="1">
              <a:extLst>
                <a:ext uri="{63B3BB69-23CF-44E3-9099-C40C66FF867C}">
                  <a14:compatExt spid="_x0000_s308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91</xdr:row>
          <xdr:rowOff>123825</xdr:rowOff>
        </xdr:from>
        <xdr:to>
          <xdr:col>4</xdr:col>
          <xdr:colOff>542925</xdr:colOff>
          <xdr:row>93</xdr:row>
          <xdr:rowOff>19050</xdr:rowOff>
        </xdr:to>
        <xdr:sp macro="" textlink="">
          <xdr:nvSpPr>
            <xdr:cNvPr id="30884" name="Check Box 164" hidden="1">
              <a:extLst>
                <a:ext uri="{63B3BB69-23CF-44E3-9099-C40C66FF867C}">
                  <a14:compatExt spid="_x0000_s308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Sub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91</xdr:row>
          <xdr:rowOff>123825</xdr:rowOff>
        </xdr:from>
        <xdr:to>
          <xdr:col>5</xdr:col>
          <xdr:colOff>85725</xdr:colOff>
          <xdr:row>93</xdr:row>
          <xdr:rowOff>19050</xdr:rowOff>
        </xdr:to>
        <xdr:sp macro="" textlink="">
          <xdr:nvSpPr>
            <xdr:cNvPr id="30885" name="Check Box 165" hidden="1">
              <a:extLst>
                <a:ext uri="{63B3BB69-23CF-44E3-9099-C40C66FF867C}">
                  <a14:compatExt spid="_x0000_s308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91</xdr:row>
          <xdr:rowOff>123825</xdr:rowOff>
        </xdr:from>
        <xdr:to>
          <xdr:col>5</xdr:col>
          <xdr:colOff>428625</xdr:colOff>
          <xdr:row>93</xdr:row>
          <xdr:rowOff>19050</xdr:rowOff>
        </xdr:to>
        <xdr:sp macro="" textlink="">
          <xdr:nvSpPr>
            <xdr:cNvPr id="30886" name="Check Box 166" hidden="1">
              <a:extLst>
                <a:ext uri="{63B3BB69-23CF-44E3-9099-C40C66FF867C}">
                  <a14:compatExt spid="_x0000_s308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91</xdr:row>
          <xdr:rowOff>123825</xdr:rowOff>
        </xdr:from>
        <xdr:to>
          <xdr:col>5</xdr:col>
          <xdr:colOff>781050</xdr:colOff>
          <xdr:row>93</xdr:row>
          <xdr:rowOff>19050</xdr:rowOff>
        </xdr:to>
        <xdr:sp macro="" textlink="">
          <xdr:nvSpPr>
            <xdr:cNvPr id="30887" name="Check Box 167" hidden="1">
              <a:extLst>
                <a:ext uri="{63B3BB69-23CF-44E3-9099-C40C66FF867C}">
                  <a14:compatExt spid="_x0000_s308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93</xdr:row>
          <xdr:rowOff>123825</xdr:rowOff>
        </xdr:from>
        <xdr:to>
          <xdr:col>2</xdr:col>
          <xdr:colOff>428625</xdr:colOff>
          <xdr:row>95</xdr:row>
          <xdr:rowOff>19050</xdr:rowOff>
        </xdr:to>
        <xdr:sp macro="" textlink="">
          <xdr:nvSpPr>
            <xdr:cNvPr id="30888" name="Check Box 168" hidden="1">
              <a:extLst>
                <a:ext uri="{63B3BB69-23CF-44E3-9099-C40C66FF867C}">
                  <a14:compatExt spid="_x0000_s308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93</xdr:row>
          <xdr:rowOff>123825</xdr:rowOff>
        </xdr:from>
        <xdr:to>
          <xdr:col>2</xdr:col>
          <xdr:colOff>771525</xdr:colOff>
          <xdr:row>95</xdr:row>
          <xdr:rowOff>19050</xdr:rowOff>
        </xdr:to>
        <xdr:sp macro="" textlink="">
          <xdr:nvSpPr>
            <xdr:cNvPr id="30889" name="Check Box 169" hidden="1">
              <a:extLst>
                <a:ext uri="{63B3BB69-23CF-44E3-9099-C40C66FF867C}">
                  <a14:compatExt spid="_x0000_s308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93</xdr:row>
          <xdr:rowOff>123825</xdr:rowOff>
        </xdr:from>
        <xdr:to>
          <xdr:col>3</xdr:col>
          <xdr:colOff>314325</xdr:colOff>
          <xdr:row>95</xdr:row>
          <xdr:rowOff>19050</xdr:rowOff>
        </xdr:to>
        <xdr:sp macro="" textlink="">
          <xdr:nvSpPr>
            <xdr:cNvPr id="30890" name="Check Box 170" hidden="1">
              <a:extLst>
                <a:ext uri="{63B3BB69-23CF-44E3-9099-C40C66FF867C}">
                  <a14:compatExt spid="_x0000_s308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93</xdr:row>
          <xdr:rowOff>123825</xdr:rowOff>
        </xdr:from>
        <xdr:to>
          <xdr:col>3</xdr:col>
          <xdr:colOff>657225</xdr:colOff>
          <xdr:row>95</xdr:row>
          <xdr:rowOff>19050</xdr:rowOff>
        </xdr:to>
        <xdr:sp macro="" textlink="">
          <xdr:nvSpPr>
            <xdr:cNvPr id="30891" name="Check Box 171" hidden="1">
              <a:extLst>
                <a:ext uri="{63B3BB69-23CF-44E3-9099-C40C66FF867C}">
                  <a14:compatExt spid="_x0000_s308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Čet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93</xdr:row>
          <xdr:rowOff>123825</xdr:rowOff>
        </xdr:from>
        <xdr:to>
          <xdr:col>4</xdr:col>
          <xdr:colOff>200025</xdr:colOff>
          <xdr:row>95</xdr:row>
          <xdr:rowOff>19050</xdr:rowOff>
        </xdr:to>
        <xdr:sp macro="" textlink="">
          <xdr:nvSpPr>
            <xdr:cNvPr id="30892" name="Check Box 172" hidden="1">
              <a:extLst>
                <a:ext uri="{63B3BB69-23CF-44E3-9099-C40C66FF867C}">
                  <a14:compatExt spid="_x0000_s308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93</xdr:row>
          <xdr:rowOff>123825</xdr:rowOff>
        </xdr:from>
        <xdr:to>
          <xdr:col>4</xdr:col>
          <xdr:colOff>542925</xdr:colOff>
          <xdr:row>95</xdr:row>
          <xdr:rowOff>19050</xdr:rowOff>
        </xdr:to>
        <xdr:sp macro="" textlink="">
          <xdr:nvSpPr>
            <xdr:cNvPr id="30893" name="Check Box 173" hidden="1">
              <a:extLst>
                <a:ext uri="{63B3BB69-23CF-44E3-9099-C40C66FF867C}">
                  <a14:compatExt spid="_x0000_s308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Sub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93</xdr:row>
          <xdr:rowOff>123825</xdr:rowOff>
        </xdr:from>
        <xdr:to>
          <xdr:col>5</xdr:col>
          <xdr:colOff>85725</xdr:colOff>
          <xdr:row>95</xdr:row>
          <xdr:rowOff>19050</xdr:rowOff>
        </xdr:to>
        <xdr:sp macro="" textlink="">
          <xdr:nvSpPr>
            <xdr:cNvPr id="30894" name="Check Box 174" hidden="1">
              <a:extLst>
                <a:ext uri="{63B3BB69-23CF-44E3-9099-C40C66FF867C}">
                  <a14:compatExt spid="_x0000_s308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93</xdr:row>
          <xdr:rowOff>123825</xdr:rowOff>
        </xdr:from>
        <xdr:to>
          <xdr:col>5</xdr:col>
          <xdr:colOff>428625</xdr:colOff>
          <xdr:row>95</xdr:row>
          <xdr:rowOff>19050</xdr:rowOff>
        </xdr:to>
        <xdr:sp macro="" textlink="">
          <xdr:nvSpPr>
            <xdr:cNvPr id="30895" name="Check Box 175" hidden="1">
              <a:extLst>
                <a:ext uri="{63B3BB69-23CF-44E3-9099-C40C66FF867C}">
                  <a14:compatExt spid="_x0000_s308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93</xdr:row>
          <xdr:rowOff>123825</xdr:rowOff>
        </xdr:from>
        <xdr:to>
          <xdr:col>5</xdr:col>
          <xdr:colOff>781050</xdr:colOff>
          <xdr:row>95</xdr:row>
          <xdr:rowOff>19050</xdr:rowOff>
        </xdr:to>
        <xdr:sp macro="" textlink="">
          <xdr:nvSpPr>
            <xdr:cNvPr id="30896" name="Check Box 176" hidden="1">
              <a:extLst>
                <a:ext uri="{63B3BB69-23CF-44E3-9099-C40C66FF867C}">
                  <a14:compatExt spid="_x0000_s308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95</xdr:row>
          <xdr:rowOff>123825</xdr:rowOff>
        </xdr:from>
        <xdr:to>
          <xdr:col>2</xdr:col>
          <xdr:colOff>428625</xdr:colOff>
          <xdr:row>97</xdr:row>
          <xdr:rowOff>19050</xdr:rowOff>
        </xdr:to>
        <xdr:sp macro="" textlink="">
          <xdr:nvSpPr>
            <xdr:cNvPr id="30897" name="Check Box 177" hidden="1">
              <a:extLst>
                <a:ext uri="{63B3BB69-23CF-44E3-9099-C40C66FF867C}">
                  <a14:compatExt spid="_x0000_s308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95</xdr:row>
          <xdr:rowOff>123825</xdr:rowOff>
        </xdr:from>
        <xdr:to>
          <xdr:col>2</xdr:col>
          <xdr:colOff>771525</xdr:colOff>
          <xdr:row>97</xdr:row>
          <xdr:rowOff>19050</xdr:rowOff>
        </xdr:to>
        <xdr:sp macro="" textlink="">
          <xdr:nvSpPr>
            <xdr:cNvPr id="30898" name="Check Box 178" hidden="1">
              <a:extLst>
                <a:ext uri="{63B3BB69-23CF-44E3-9099-C40C66FF867C}">
                  <a14:compatExt spid="_x0000_s308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95</xdr:row>
          <xdr:rowOff>123825</xdr:rowOff>
        </xdr:from>
        <xdr:to>
          <xdr:col>3</xdr:col>
          <xdr:colOff>314325</xdr:colOff>
          <xdr:row>97</xdr:row>
          <xdr:rowOff>19050</xdr:rowOff>
        </xdr:to>
        <xdr:sp macro="" textlink="">
          <xdr:nvSpPr>
            <xdr:cNvPr id="30899" name="Check Box 179" hidden="1">
              <a:extLst>
                <a:ext uri="{63B3BB69-23CF-44E3-9099-C40C66FF867C}">
                  <a14:compatExt spid="_x0000_s308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95</xdr:row>
          <xdr:rowOff>123825</xdr:rowOff>
        </xdr:from>
        <xdr:to>
          <xdr:col>3</xdr:col>
          <xdr:colOff>657225</xdr:colOff>
          <xdr:row>97</xdr:row>
          <xdr:rowOff>19050</xdr:rowOff>
        </xdr:to>
        <xdr:sp macro="" textlink="">
          <xdr:nvSpPr>
            <xdr:cNvPr id="30900" name="Check Box 180" hidden="1">
              <a:extLst>
                <a:ext uri="{63B3BB69-23CF-44E3-9099-C40C66FF867C}">
                  <a14:compatExt spid="_x0000_s309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Čet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95</xdr:row>
          <xdr:rowOff>123825</xdr:rowOff>
        </xdr:from>
        <xdr:to>
          <xdr:col>4</xdr:col>
          <xdr:colOff>200025</xdr:colOff>
          <xdr:row>97</xdr:row>
          <xdr:rowOff>19050</xdr:rowOff>
        </xdr:to>
        <xdr:sp macro="" textlink="">
          <xdr:nvSpPr>
            <xdr:cNvPr id="30901" name="Check Box 181" hidden="1">
              <a:extLst>
                <a:ext uri="{63B3BB69-23CF-44E3-9099-C40C66FF867C}">
                  <a14:compatExt spid="_x0000_s309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95</xdr:row>
          <xdr:rowOff>123825</xdr:rowOff>
        </xdr:from>
        <xdr:to>
          <xdr:col>4</xdr:col>
          <xdr:colOff>542925</xdr:colOff>
          <xdr:row>97</xdr:row>
          <xdr:rowOff>19050</xdr:rowOff>
        </xdr:to>
        <xdr:sp macro="" textlink="">
          <xdr:nvSpPr>
            <xdr:cNvPr id="30902" name="Check Box 182" hidden="1">
              <a:extLst>
                <a:ext uri="{63B3BB69-23CF-44E3-9099-C40C66FF867C}">
                  <a14:compatExt spid="_x0000_s309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Sub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95</xdr:row>
          <xdr:rowOff>123825</xdr:rowOff>
        </xdr:from>
        <xdr:to>
          <xdr:col>5</xdr:col>
          <xdr:colOff>85725</xdr:colOff>
          <xdr:row>97</xdr:row>
          <xdr:rowOff>19050</xdr:rowOff>
        </xdr:to>
        <xdr:sp macro="" textlink="">
          <xdr:nvSpPr>
            <xdr:cNvPr id="30903" name="Check Box 183" hidden="1">
              <a:extLst>
                <a:ext uri="{63B3BB69-23CF-44E3-9099-C40C66FF867C}">
                  <a14:compatExt spid="_x0000_s309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95</xdr:row>
          <xdr:rowOff>123825</xdr:rowOff>
        </xdr:from>
        <xdr:to>
          <xdr:col>5</xdr:col>
          <xdr:colOff>428625</xdr:colOff>
          <xdr:row>97</xdr:row>
          <xdr:rowOff>19050</xdr:rowOff>
        </xdr:to>
        <xdr:sp macro="" textlink="">
          <xdr:nvSpPr>
            <xdr:cNvPr id="30904" name="Check Box 184" hidden="1">
              <a:extLst>
                <a:ext uri="{63B3BB69-23CF-44E3-9099-C40C66FF867C}">
                  <a14:compatExt spid="_x0000_s309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95</xdr:row>
          <xdr:rowOff>123825</xdr:rowOff>
        </xdr:from>
        <xdr:to>
          <xdr:col>5</xdr:col>
          <xdr:colOff>781050</xdr:colOff>
          <xdr:row>97</xdr:row>
          <xdr:rowOff>19050</xdr:rowOff>
        </xdr:to>
        <xdr:sp macro="" textlink="">
          <xdr:nvSpPr>
            <xdr:cNvPr id="30905" name="Check Box 185" hidden="1">
              <a:extLst>
                <a:ext uri="{63B3BB69-23CF-44E3-9099-C40C66FF867C}">
                  <a14:compatExt spid="_x0000_s309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97</xdr:row>
          <xdr:rowOff>123825</xdr:rowOff>
        </xdr:from>
        <xdr:to>
          <xdr:col>2</xdr:col>
          <xdr:colOff>428625</xdr:colOff>
          <xdr:row>99</xdr:row>
          <xdr:rowOff>19050</xdr:rowOff>
        </xdr:to>
        <xdr:sp macro="" textlink="">
          <xdr:nvSpPr>
            <xdr:cNvPr id="30906" name="Check Box 186" hidden="1">
              <a:extLst>
                <a:ext uri="{63B3BB69-23CF-44E3-9099-C40C66FF867C}">
                  <a14:compatExt spid="_x0000_s309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97</xdr:row>
          <xdr:rowOff>123825</xdr:rowOff>
        </xdr:from>
        <xdr:to>
          <xdr:col>2</xdr:col>
          <xdr:colOff>771525</xdr:colOff>
          <xdr:row>99</xdr:row>
          <xdr:rowOff>19050</xdr:rowOff>
        </xdr:to>
        <xdr:sp macro="" textlink="">
          <xdr:nvSpPr>
            <xdr:cNvPr id="30907" name="Check Box 187" hidden="1">
              <a:extLst>
                <a:ext uri="{63B3BB69-23CF-44E3-9099-C40C66FF867C}">
                  <a14:compatExt spid="_x0000_s309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97</xdr:row>
          <xdr:rowOff>123825</xdr:rowOff>
        </xdr:from>
        <xdr:to>
          <xdr:col>3</xdr:col>
          <xdr:colOff>314325</xdr:colOff>
          <xdr:row>99</xdr:row>
          <xdr:rowOff>19050</xdr:rowOff>
        </xdr:to>
        <xdr:sp macro="" textlink="">
          <xdr:nvSpPr>
            <xdr:cNvPr id="30908" name="Check Box 188" hidden="1">
              <a:extLst>
                <a:ext uri="{63B3BB69-23CF-44E3-9099-C40C66FF867C}">
                  <a14:compatExt spid="_x0000_s309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97</xdr:row>
          <xdr:rowOff>123825</xdr:rowOff>
        </xdr:from>
        <xdr:to>
          <xdr:col>3</xdr:col>
          <xdr:colOff>657225</xdr:colOff>
          <xdr:row>99</xdr:row>
          <xdr:rowOff>19050</xdr:rowOff>
        </xdr:to>
        <xdr:sp macro="" textlink="">
          <xdr:nvSpPr>
            <xdr:cNvPr id="30909" name="Check Box 189" hidden="1">
              <a:extLst>
                <a:ext uri="{63B3BB69-23CF-44E3-9099-C40C66FF867C}">
                  <a14:compatExt spid="_x0000_s309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Čet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97</xdr:row>
          <xdr:rowOff>123825</xdr:rowOff>
        </xdr:from>
        <xdr:to>
          <xdr:col>4</xdr:col>
          <xdr:colOff>200025</xdr:colOff>
          <xdr:row>99</xdr:row>
          <xdr:rowOff>19050</xdr:rowOff>
        </xdr:to>
        <xdr:sp macro="" textlink="">
          <xdr:nvSpPr>
            <xdr:cNvPr id="30910" name="Check Box 190" hidden="1">
              <a:extLst>
                <a:ext uri="{63B3BB69-23CF-44E3-9099-C40C66FF867C}">
                  <a14:compatExt spid="_x0000_s309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97</xdr:row>
          <xdr:rowOff>123825</xdr:rowOff>
        </xdr:from>
        <xdr:to>
          <xdr:col>4</xdr:col>
          <xdr:colOff>542925</xdr:colOff>
          <xdr:row>99</xdr:row>
          <xdr:rowOff>19050</xdr:rowOff>
        </xdr:to>
        <xdr:sp macro="" textlink="">
          <xdr:nvSpPr>
            <xdr:cNvPr id="30911" name="Check Box 191" hidden="1">
              <a:extLst>
                <a:ext uri="{63B3BB69-23CF-44E3-9099-C40C66FF867C}">
                  <a14:compatExt spid="_x0000_s309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Sub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97</xdr:row>
          <xdr:rowOff>123825</xdr:rowOff>
        </xdr:from>
        <xdr:to>
          <xdr:col>5</xdr:col>
          <xdr:colOff>85725</xdr:colOff>
          <xdr:row>99</xdr:row>
          <xdr:rowOff>19050</xdr:rowOff>
        </xdr:to>
        <xdr:sp macro="" textlink="">
          <xdr:nvSpPr>
            <xdr:cNvPr id="30912" name="Check Box 192" hidden="1">
              <a:extLst>
                <a:ext uri="{63B3BB69-23CF-44E3-9099-C40C66FF867C}">
                  <a14:compatExt spid="_x0000_s309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97</xdr:row>
          <xdr:rowOff>123825</xdr:rowOff>
        </xdr:from>
        <xdr:to>
          <xdr:col>5</xdr:col>
          <xdr:colOff>428625</xdr:colOff>
          <xdr:row>99</xdr:row>
          <xdr:rowOff>19050</xdr:rowOff>
        </xdr:to>
        <xdr:sp macro="" textlink="">
          <xdr:nvSpPr>
            <xdr:cNvPr id="30913" name="Check Box 193" hidden="1">
              <a:extLst>
                <a:ext uri="{63B3BB69-23CF-44E3-9099-C40C66FF867C}">
                  <a14:compatExt spid="_x0000_s309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97</xdr:row>
          <xdr:rowOff>123825</xdr:rowOff>
        </xdr:from>
        <xdr:to>
          <xdr:col>5</xdr:col>
          <xdr:colOff>781050</xdr:colOff>
          <xdr:row>99</xdr:row>
          <xdr:rowOff>19050</xdr:rowOff>
        </xdr:to>
        <xdr:sp macro="" textlink="">
          <xdr:nvSpPr>
            <xdr:cNvPr id="30914" name="Check Box 194" hidden="1">
              <a:extLst>
                <a:ext uri="{63B3BB69-23CF-44E3-9099-C40C66FF867C}">
                  <a14:compatExt spid="_x0000_s309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99</xdr:row>
          <xdr:rowOff>123825</xdr:rowOff>
        </xdr:from>
        <xdr:to>
          <xdr:col>2</xdr:col>
          <xdr:colOff>428625</xdr:colOff>
          <xdr:row>101</xdr:row>
          <xdr:rowOff>19050</xdr:rowOff>
        </xdr:to>
        <xdr:sp macro="" textlink="">
          <xdr:nvSpPr>
            <xdr:cNvPr id="30915" name="Check Box 195" hidden="1">
              <a:extLst>
                <a:ext uri="{63B3BB69-23CF-44E3-9099-C40C66FF867C}">
                  <a14:compatExt spid="_x0000_s309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99</xdr:row>
          <xdr:rowOff>123825</xdr:rowOff>
        </xdr:from>
        <xdr:to>
          <xdr:col>2</xdr:col>
          <xdr:colOff>771525</xdr:colOff>
          <xdr:row>101</xdr:row>
          <xdr:rowOff>19050</xdr:rowOff>
        </xdr:to>
        <xdr:sp macro="" textlink="">
          <xdr:nvSpPr>
            <xdr:cNvPr id="30916" name="Check Box 196" hidden="1">
              <a:extLst>
                <a:ext uri="{63B3BB69-23CF-44E3-9099-C40C66FF867C}">
                  <a14:compatExt spid="_x0000_s309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99</xdr:row>
          <xdr:rowOff>123825</xdr:rowOff>
        </xdr:from>
        <xdr:to>
          <xdr:col>3</xdr:col>
          <xdr:colOff>314325</xdr:colOff>
          <xdr:row>101</xdr:row>
          <xdr:rowOff>19050</xdr:rowOff>
        </xdr:to>
        <xdr:sp macro="" textlink="">
          <xdr:nvSpPr>
            <xdr:cNvPr id="30917" name="Check Box 197" hidden="1">
              <a:extLst>
                <a:ext uri="{63B3BB69-23CF-44E3-9099-C40C66FF867C}">
                  <a14:compatExt spid="_x0000_s309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99</xdr:row>
          <xdr:rowOff>123825</xdr:rowOff>
        </xdr:from>
        <xdr:to>
          <xdr:col>3</xdr:col>
          <xdr:colOff>657225</xdr:colOff>
          <xdr:row>101</xdr:row>
          <xdr:rowOff>19050</xdr:rowOff>
        </xdr:to>
        <xdr:sp macro="" textlink="">
          <xdr:nvSpPr>
            <xdr:cNvPr id="30918" name="Check Box 198" hidden="1">
              <a:extLst>
                <a:ext uri="{63B3BB69-23CF-44E3-9099-C40C66FF867C}">
                  <a14:compatExt spid="_x0000_s309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Čet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99</xdr:row>
          <xdr:rowOff>123825</xdr:rowOff>
        </xdr:from>
        <xdr:to>
          <xdr:col>4</xdr:col>
          <xdr:colOff>200025</xdr:colOff>
          <xdr:row>101</xdr:row>
          <xdr:rowOff>19050</xdr:rowOff>
        </xdr:to>
        <xdr:sp macro="" textlink="">
          <xdr:nvSpPr>
            <xdr:cNvPr id="30919" name="Check Box 199" hidden="1">
              <a:extLst>
                <a:ext uri="{63B3BB69-23CF-44E3-9099-C40C66FF867C}">
                  <a14:compatExt spid="_x0000_s309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99</xdr:row>
          <xdr:rowOff>123825</xdr:rowOff>
        </xdr:from>
        <xdr:to>
          <xdr:col>4</xdr:col>
          <xdr:colOff>542925</xdr:colOff>
          <xdr:row>101</xdr:row>
          <xdr:rowOff>19050</xdr:rowOff>
        </xdr:to>
        <xdr:sp macro="" textlink="">
          <xdr:nvSpPr>
            <xdr:cNvPr id="30920" name="Check Box 200" hidden="1">
              <a:extLst>
                <a:ext uri="{63B3BB69-23CF-44E3-9099-C40C66FF867C}">
                  <a14:compatExt spid="_x0000_s309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Sub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99</xdr:row>
          <xdr:rowOff>123825</xdr:rowOff>
        </xdr:from>
        <xdr:to>
          <xdr:col>5</xdr:col>
          <xdr:colOff>85725</xdr:colOff>
          <xdr:row>101</xdr:row>
          <xdr:rowOff>19050</xdr:rowOff>
        </xdr:to>
        <xdr:sp macro="" textlink="">
          <xdr:nvSpPr>
            <xdr:cNvPr id="30921" name="Check Box 201" hidden="1">
              <a:extLst>
                <a:ext uri="{63B3BB69-23CF-44E3-9099-C40C66FF867C}">
                  <a14:compatExt spid="_x0000_s309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99</xdr:row>
          <xdr:rowOff>123825</xdr:rowOff>
        </xdr:from>
        <xdr:to>
          <xdr:col>5</xdr:col>
          <xdr:colOff>428625</xdr:colOff>
          <xdr:row>101</xdr:row>
          <xdr:rowOff>19050</xdr:rowOff>
        </xdr:to>
        <xdr:sp macro="" textlink="">
          <xdr:nvSpPr>
            <xdr:cNvPr id="30922" name="Check Box 202" hidden="1">
              <a:extLst>
                <a:ext uri="{63B3BB69-23CF-44E3-9099-C40C66FF867C}">
                  <a14:compatExt spid="_x0000_s309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99</xdr:row>
          <xdr:rowOff>123825</xdr:rowOff>
        </xdr:from>
        <xdr:to>
          <xdr:col>5</xdr:col>
          <xdr:colOff>781050</xdr:colOff>
          <xdr:row>101</xdr:row>
          <xdr:rowOff>19050</xdr:rowOff>
        </xdr:to>
        <xdr:sp macro="" textlink="">
          <xdr:nvSpPr>
            <xdr:cNvPr id="30923" name="Check Box 203" hidden="1">
              <a:extLst>
                <a:ext uri="{63B3BB69-23CF-44E3-9099-C40C66FF867C}">
                  <a14:compatExt spid="_x0000_s309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101</xdr:row>
          <xdr:rowOff>123825</xdr:rowOff>
        </xdr:from>
        <xdr:to>
          <xdr:col>2</xdr:col>
          <xdr:colOff>428625</xdr:colOff>
          <xdr:row>103</xdr:row>
          <xdr:rowOff>19050</xdr:rowOff>
        </xdr:to>
        <xdr:sp macro="" textlink="">
          <xdr:nvSpPr>
            <xdr:cNvPr id="30924" name="Check Box 204" hidden="1">
              <a:extLst>
                <a:ext uri="{63B3BB69-23CF-44E3-9099-C40C66FF867C}">
                  <a14:compatExt spid="_x0000_s309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101</xdr:row>
          <xdr:rowOff>123825</xdr:rowOff>
        </xdr:from>
        <xdr:to>
          <xdr:col>2</xdr:col>
          <xdr:colOff>771525</xdr:colOff>
          <xdr:row>103</xdr:row>
          <xdr:rowOff>19050</xdr:rowOff>
        </xdr:to>
        <xdr:sp macro="" textlink="">
          <xdr:nvSpPr>
            <xdr:cNvPr id="30925" name="Check Box 205" hidden="1">
              <a:extLst>
                <a:ext uri="{63B3BB69-23CF-44E3-9099-C40C66FF867C}">
                  <a14:compatExt spid="_x0000_s309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101</xdr:row>
          <xdr:rowOff>123825</xdr:rowOff>
        </xdr:from>
        <xdr:to>
          <xdr:col>3</xdr:col>
          <xdr:colOff>314325</xdr:colOff>
          <xdr:row>103</xdr:row>
          <xdr:rowOff>19050</xdr:rowOff>
        </xdr:to>
        <xdr:sp macro="" textlink="">
          <xdr:nvSpPr>
            <xdr:cNvPr id="30926" name="Check Box 206" hidden="1">
              <a:extLst>
                <a:ext uri="{63B3BB69-23CF-44E3-9099-C40C66FF867C}">
                  <a14:compatExt spid="_x0000_s309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101</xdr:row>
          <xdr:rowOff>123825</xdr:rowOff>
        </xdr:from>
        <xdr:to>
          <xdr:col>3</xdr:col>
          <xdr:colOff>657225</xdr:colOff>
          <xdr:row>103</xdr:row>
          <xdr:rowOff>19050</xdr:rowOff>
        </xdr:to>
        <xdr:sp macro="" textlink="">
          <xdr:nvSpPr>
            <xdr:cNvPr id="30927" name="Check Box 207" hidden="1">
              <a:extLst>
                <a:ext uri="{63B3BB69-23CF-44E3-9099-C40C66FF867C}">
                  <a14:compatExt spid="_x0000_s309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Čet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101</xdr:row>
          <xdr:rowOff>123825</xdr:rowOff>
        </xdr:from>
        <xdr:to>
          <xdr:col>4</xdr:col>
          <xdr:colOff>200025</xdr:colOff>
          <xdr:row>103</xdr:row>
          <xdr:rowOff>19050</xdr:rowOff>
        </xdr:to>
        <xdr:sp macro="" textlink="">
          <xdr:nvSpPr>
            <xdr:cNvPr id="30928" name="Check Box 208" hidden="1">
              <a:extLst>
                <a:ext uri="{63B3BB69-23CF-44E3-9099-C40C66FF867C}">
                  <a14:compatExt spid="_x0000_s309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101</xdr:row>
          <xdr:rowOff>123825</xdr:rowOff>
        </xdr:from>
        <xdr:to>
          <xdr:col>4</xdr:col>
          <xdr:colOff>542925</xdr:colOff>
          <xdr:row>103</xdr:row>
          <xdr:rowOff>19050</xdr:rowOff>
        </xdr:to>
        <xdr:sp macro="" textlink="">
          <xdr:nvSpPr>
            <xdr:cNvPr id="30929" name="Check Box 209" hidden="1">
              <a:extLst>
                <a:ext uri="{63B3BB69-23CF-44E3-9099-C40C66FF867C}">
                  <a14:compatExt spid="_x0000_s309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Sub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101</xdr:row>
          <xdr:rowOff>123825</xdr:rowOff>
        </xdr:from>
        <xdr:to>
          <xdr:col>5</xdr:col>
          <xdr:colOff>85725</xdr:colOff>
          <xdr:row>103</xdr:row>
          <xdr:rowOff>19050</xdr:rowOff>
        </xdr:to>
        <xdr:sp macro="" textlink="">
          <xdr:nvSpPr>
            <xdr:cNvPr id="30930" name="Check Box 210" hidden="1">
              <a:extLst>
                <a:ext uri="{63B3BB69-23CF-44E3-9099-C40C66FF867C}">
                  <a14:compatExt spid="_x0000_s309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101</xdr:row>
          <xdr:rowOff>123825</xdr:rowOff>
        </xdr:from>
        <xdr:to>
          <xdr:col>5</xdr:col>
          <xdr:colOff>428625</xdr:colOff>
          <xdr:row>103</xdr:row>
          <xdr:rowOff>19050</xdr:rowOff>
        </xdr:to>
        <xdr:sp macro="" textlink="">
          <xdr:nvSpPr>
            <xdr:cNvPr id="30931" name="Check Box 211" hidden="1">
              <a:extLst>
                <a:ext uri="{63B3BB69-23CF-44E3-9099-C40C66FF867C}">
                  <a14:compatExt spid="_x0000_s309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101</xdr:row>
          <xdr:rowOff>123825</xdr:rowOff>
        </xdr:from>
        <xdr:to>
          <xdr:col>5</xdr:col>
          <xdr:colOff>781050</xdr:colOff>
          <xdr:row>103</xdr:row>
          <xdr:rowOff>19050</xdr:rowOff>
        </xdr:to>
        <xdr:sp macro="" textlink="">
          <xdr:nvSpPr>
            <xdr:cNvPr id="30932" name="Check Box 212" hidden="1">
              <a:extLst>
                <a:ext uri="{63B3BB69-23CF-44E3-9099-C40C66FF867C}">
                  <a14:compatExt spid="_x0000_s3093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103</xdr:row>
          <xdr:rowOff>123825</xdr:rowOff>
        </xdr:from>
        <xdr:to>
          <xdr:col>2</xdr:col>
          <xdr:colOff>428625</xdr:colOff>
          <xdr:row>105</xdr:row>
          <xdr:rowOff>9525</xdr:rowOff>
        </xdr:to>
        <xdr:sp macro="" textlink="">
          <xdr:nvSpPr>
            <xdr:cNvPr id="30933" name="Check Box 213" hidden="1">
              <a:extLst>
                <a:ext uri="{63B3BB69-23CF-44E3-9099-C40C66FF867C}">
                  <a14:compatExt spid="_x0000_s3093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103</xdr:row>
          <xdr:rowOff>123825</xdr:rowOff>
        </xdr:from>
        <xdr:to>
          <xdr:col>2</xdr:col>
          <xdr:colOff>771525</xdr:colOff>
          <xdr:row>105</xdr:row>
          <xdr:rowOff>9525</xdr:rowOff>
        </xdr:to>
        <xdr:sp macro="" textlink="">
          <xdr:nvSpPr>
            <xdr:cNvPr id="30934" name="Check Box 214" hidden="1">
              <a:extLst>
                <a:ext uri="{63B3BB69-23CF-44E3-9099-C40C66FF867C}">
                  <a14:compatExt spid="_x0000_s309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103</xdr:row>
          <xdr:rowOff>123825</xdr:rowOff>
        </xdr:from>
        <xdr:to>
          <xdr:col>3</xdr:col>
          <xdr:colOff>314325</xdr:colOff>
          <xdr:row>105</xdr:row>
          <xdr:rowOff>9525</xdr:rowOff>
        </xdr:to>
        <xdr:sp macro="" textlink="">
          <xdr:nvSpPr>
            <xdr:cNvPr id="30935" name="Check Box 215" hidden="1">
              <a:extLst>
                <a:ext uri="{63B3BB69-23CF-44E3-9099-C40C66FF867C}">
                  <a14:compatExt spid="_x0000_s309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103</xdr:row>
          <xdr:rowOff>123825</xdr:rowOff>
        </xdr:from>
        <xdr:to>
          <xdr:col>3</xdr:col>
          <xdr:colOff>657225</xdr:colOff>
          <xdr:row>105</xdr:row>
          <xdr:rowOff>9525</xdr:rowOff>
        </xdr:to>
        <xdr:sp macro="" textlink="">
          <xdr:nvSpPr>
            <xdr:cNvPr id="30936" name="Check Box 216" hidden="1">
              <a:extLst>
                <a:ext uri="{63B3BB69-23CF-44E3-9099-C40C66FF867C}">
                  <a14:compatExt spid="_x0000_s309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Čet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609600</xdr:colOff>
          <xdr:row>103</xdr:row>
          <xdr:rowOff>123825</xdr:rowOff>
        </xdr:from>
        <xdr:to>
          <xdr:col>4</xdr:col>
          <xdr:colOff>200025</xdr:colOff>
          <xdr:row>105</xdr:row>
          <xdr:rowOff>9525</xdr:rowOff>
        </xdr:to>
        <xdr:sp macro="" textlink="">
          <xdr:nvSpPr>
            <xdr:cNvPr id="30937" name="Check Box 217" hidden="1">
              <a:extLst>
                <a:ext uri="{63B3BB69-23CF-44E3-9099-C40C66FF867C}">
                  <a14:compatExt spid="_x0000_s309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103</xdr:row>
          <xdr:rowOff>123825</xdr:rowOff>
        </xdr:from>
        <xdr:to>
          <xdr:col>4</xdr:col>
          <xdr:colOff>542925</xdr:colOff>
          <xdr:row>105</xdr:row>
          <xdr:rowOff>9525</xdr:rowOff>
        </xdr:to>
        <xdr:sp macro="" textlink="">
          <xdr:nvSpPr>
            <xdr:cNvPr id="30938" name="Check Box 218" hidden="1">
              <a:extLst>
                <a:ext uri="{63B3BB69-23CF-44E3-9099-C40C66FF867C}">
                  <a14:compatExt spid="_x0000_s309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Sub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103</xdr:row>
          <xdr:rowOff>123825</xdr:rowOff>
        </xdr:from>
        <xdr:to>
          <xdr:col>5</xdr:col>
          <xdr:colOff>85725</xdr:colOff>
          <xdr:row>105</xdr:row>
          <xdr:rowOff>9525</xdr:rowOff>
        </xdr:to>
        <xdr:sp macro="" textlink="">
          <xdr:nvSpPr>
            <xdr:cNvPr id="30939" name="Check Box 219" hidden="1">
              <a:extLst>
                <a:ext uri="{63B3BB69-23CF-44E3-9099-C40C66FF867C}">
                  <a14:compatExt spid="_x0000_s309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Ned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103</xdr:row>
          <xdr:rowOff>123825</xdr:rowOff>
        </xdr:from>
        <xdr:to>
          <xdr:col>5</xdr:col>
          <xdr:colOff>428625</xdr:colOff>
          <xdr:row>105</xdr:row>
          <xdr:rowOff>9525</xdr:rowOff>
        </xdr:to>
        <xdr:sp macro="" textlink="">
          <xdr:nvSpPr>
            <xdr:cNvPr id="30940" name="Check Box 220" hidden="1">
              <a:extLst>
                <a:ext uri="{63B3BB69-23CF-44E3-9099-C40C66FF867C}">
                  <a14:compatExt spid="_x0000_s309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103</xdr:row>
          <xdr:rowOff>123825</xdr:rowOff>
        </xdr:from>
        <xdr:to>
          <xdr:col>5</xdr:col>
          <xdr:colOff>781050</xdr:colOff>
          <xdr:row>105</xdr:row>
          <xdr:rowOff>9525</xdr:rowOff>
        </xdr:to>
        <xdr:sp macro="" textlink="">
          <xdr:nvSpPr>
            <xdr:cNvPr id="30941" name="Check Box 221" hidden="1">
              <a:extLst>
                <a:ext uri="{63B3BB69-23CF-44E3-9099-C40C66FF867C}">
                  <a14:compatExt spid="_x0000_s309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79</xdr:row>
          <xdr:rowOff>123825</xdr:rowOff>
        </xdr:from>
        <xdr:to>
          <xdr:col>2</xdr:col>
          <xdr:colOff>428625</xdr:colOff>
          <xdr:row>81</xdr:row>
          <xdr:rowOff>19050</xdr:rowOff>
        </xdr:to>
        <xdr:sp macro="" textlink="">
          <xdr:nvSpPr>
            <xdr:cNvPr id="30942" name="Check Box 222" hidden="1">
              <a:extLst>
                <a:ext uri="{63B3BB69-23CF-44E3-9099-C40C66FF867C}">
                  <a14:compatExt spid="_x0000_s309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79</xdr:row>
          <xdr:rowOff>123825</xdr:rowOff>
        </xdr:from>
        <xdr:to>
          <xdr:col>2</xdr:col>
          <xdr:colOff>771525</xdr:colOff>
          <xdr:row>81</xdr:row>
          <xdr:rowOff>19050</xdr:rowOff>
        </xdr:to>
        <xdr:sp macro="" textlink="">
          <xdr:nvSpPr>
            <xdr:cNvPr id="30943" name="Check Box 223" hidden="1">
              <a:extLst>
                <a:ext uri="{63B3BB69-23CF-44E3-9099-C40C66FF867C}">
                  <a14:compatExt spid="_x0000_s309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79</xdr:row>
          <xdr:rowOff>123825</xdr:rowOff>
        </xdr:from>
        <xdr:to>
          <xdr:col>3</xdr:col>
          <xdr:colOff>314325</xdr:colOff>
          <xdr:row>81</xdr:row>
          <xdr:rowOff>19050</xdr:rowOff>
        </xdr:to>
        <xdr:sp macro="" textlink="">
          <xdr:nvSpPr>
            <xdr:cNvPr id="30944" name="Check Box 224" hidden="1">
              <a:extLst>
                <a:ext uri="{63B3BB69-23CF-44E3-9099-C40C66FF867C}">
                  <a14:compatExt spid="_x0000_s309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81</xdr:row>
          <xdr:rowOff>123825</xdr:rowOff>
        </xdr:from>
        <xdr:to>
          <xdr:col>2</xdr:col>
          <xdr:colOff>428625</xdr:colOff>
          <xdr:row>83</xdr:row>
          <xdr:rowOff>19050</xdr:rowOff>
        </xdr:to>
        <xdr:sp macro="" textlink="">
          <xdr:nvSpPr>
            <xdr:cNvPr id="30945" name="Check Box 225" hidden="1">
              <a:extLst>
                <a:ext uri="{63B3BB69-23CF-44E3-9099-C40C66FF867C}">
                  <a14:compatExt spid="_x0000_s309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81</xdr:row>
          <xdr:rowOff>123825</xdr:rowOff>
        </xdr:from>
        <xdr:to>
          <xdr:col>2</xdr:col>
          <xdr:colOff>771525</xdr:colOff>
          <xdr:row>83</xdr:row>
          <xdr:rowOff>19050</xdr:rowOff>
        </xdr:to>
        <xdr:sp macro="" textlink="">
          <xdr:nvSpPr>
            <xdr:cNvPr id="30946" name="Check Box 226" hidden="1">
              <a:extLst>
                <a:ext uri="{63B3BB69-23CF-44E3-9099-C40C66FF867C}">
                  <a14:compatExt spid="_x0000_s309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81</xdr:row>
          <xdr:rowOff>123825</xdr:rowOff>
        </xdr:from>
        <xdr:to>
          <xdr:col>3</xdr:col>
          <xdr:colOff>314325</xdr:colOff>
          <xdr:row>83</xdr:row>
          <xdr:rowOff>19050</xdr:rowOff>
        </xdr:to>
        <xdr:sp macro="" textlink="">
          <xdr:nvSpPr>
            <xdr:cNvPr id="30947" name="Check Box 227" hidden="1">
              <a:extLst>
                <a:ext uri="{63B3BB69-23CF-44E3-9099-C40C66FF867C}">
                  <a14:compatExt spid="_x0000_s309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83</xdr:row>
          <xdr:rowOff>123825</xdr:rowOff>
        </xdr:from>
        <xdr:to>
          <xdr:col>2</xdr:col>
          <xdr:colOff>428625</xdr:colOff>
          <xdr:row>85</xdr:row>
          <xdr:rowOff>19050</xdr:rowOff>
        </xdr:to>
        <xdr:sp macro="" textlink="">
          <xdr:nvSpPr>
            <xdr:cNvPr id="30948" name="Check Box 228" hidden="1">
              <a:extLst>
                <a:ext uri="{63B3BB69-23CF-44E3-9099-C40C66FF867C}">
                  <a14:compatExt spid="_x0000_s309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83</xdr:row>
          <xdr:rowOff>123825</xdr:rowOff>
        </xdr:from>
        <xdr:to>
          <xdr:col>2</xdr:col>
          <xdr:colOff>771525</xdr:colOff>
          <xdr:row>85</xdr:row>
          <xdr:rowOff>19050</xdr:rowOff>
        </xdr:to>
        <xdr:sp macro="" textlink="">
          <xdr:nvSpPr>
            <xdr:cNvPr id="30949" name="Check Box 229" hidden="1">
              <a:extLst>
                <a:ext uri="{63B3BB69-23CF-44E3-9099-C40C66FF867C}">
                  <a14:compatExt spid="_x0000_s309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83</xdr:row>
          <xdr:rowOff>123825</xdr:rowOff>
        </xdr:from>
        <xdr:to>
          <xdr:col>3</xdr:col>
          <xdr:colOff>314325</xdr:colOff>
          <xdr:row>85</xdr:row>
          <xdr:rowOff>19050</xdr:rowOff>
        </xdr:to>
        <xdr:sp macro="" textlink="">
          <xdr:nvSpPr>
            <xdr:cNvPr id="30950" name="Check Box 230" hidden="1">
              <a:extLst>
                <a:ext uri="{63B3BB69-23CF-44E3-9099-C40C66FF867C}">
                  <a14:compatExt spid="_x0000_s309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85</xdr:row>
          <xdr:rowOff>123825</xdr:rowOff>
        </xdr:from>
        <xdr:to>
          <xdr:col>2</xdr:col>
          <xdr:colOff>428625</xdr:colOff>
          <xdr:row>87</xdr:row>
          <xdr:rowOff>19050</xdr:rowOff>
        </xdr:to>
        <xdr:sp macro="" textlink="">
          <xdr:nvSpPr>
            <xdr:cNvPr id="30951" name="Check Box 231" hidden="1">
              <a:extLst>
                <a:ext uri="{63B3BB69-23CF-44E3-9099-C40C66FF867C}">
                  <a14:compatExt spid="_x0000_s309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85</xdr:row>
          <xdr:rowOff>123825</xdr:rowOff>
        </xdr:from>
        <xdr:to>
          <xdr:col>2</xdr:col>
          <xdr:colOff>771525</xdr:colOff>
          <xdr:row>87</xdr:row>
          <xdr:rowOff>19050</xdr:rowOff>
        </xdr:to>
        <xdr:sp macro="" textlink="">
          <xdr:nvSpPr>
            <xdr:cNvPr id="30952" name="Check Box 232" hidden="1">
              <a:extLst>
                <a:ext uri="{63B3BB69-23CF-44E3-9099-C40C66FF867C}">
                  <a14:compatExt spid="_x0000_s309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85</xdr:row>
          <xdr:rowOff>123825</xdr:rowOff>
        </xdr:from>
        <xdr:to>
          <xdr:col>3</xdr:col>
          <xdr:colOff>314325</xdr:colOff>
          <xdr:row>87</xdr:row>
          <xdr:rowOff>19050</xdr:rowOff>
        </xdr:to>
        <xdr:sp macro="" textlink="">
          <xdr:nvSpPr>
            <xdr:cNvPr id="30953" name="Check Box 233" hidden="1">
              <a:extLst>
                <a:ext uri="{63B3BB69-23CF-44E3-9099-C40C66FF867C}">
                  <a14:compatExt spid="_x0000_s309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87</xdr:row>
          <xdr:rowOff>123825</xdr:rowOff>
        </xdr:from>
        <xdr:to>
          <xdr:col>2</xdr:col>
          <xdr:colOff>428625</xdr:colOff>
          <xdr:row>89</xdr:row>
          <xdr:rowOff>19050</xdr:rowOff>
        </xdr:to>
        <xdr:sp macro="" textlink="">
          <xdr:nvSpPr>
            <xdr:cNvPr id="30954" name="Check Box 234" hidden="1">
              <a:extLst>
                <a:ext uri="{63B3BB69-23CF-44E3-9099-C40C66FF867C}">
                  <a14:compatExt spid="_x0000_s309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87</xdr:row>
          <xdr:rowOff>123825</xdr:rowOff>
        </xdr:from>
        <xdr:to>
          <xdr:col>2</xdr:col>
          <xdr:colOff>771525</xdr:colOff>
          <xdr:row>89</xdr:row>
          <xdr:rowOff>19050</xdr:rowOff>
        </xdr:to>
        <xdr:sp macro="" textlink="">
          <xdr:nvSpPr>
            <xdr:cNvPr id="30955" name="Check Box 235" hidden="1">
              <a:extLst>
                <a:ext uri="{63B3BB69-23CF-44E3-9099-C40C66FF867C}">
                  <a14:compatExt spid="_x0000_s309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87</xdr:row>
          <xdr:rowOff>123825</xdr:rowOff>
        </xdr:from>
        <xdr:to>
          <xdr:col>3</xdr:col>
          <xdr:colOff>314325</xdr:colOff>
          <xdr:row>89</xdr:row>
          <xdr:rowOff>19050</xdr:rowOff>
        </xdr:to>
        <xdr:sp macro="" textlink="">
          <xdr:nvSpPr>
            <xdr:cNvPr id="30956" name="Check Box 236" hidden="1">
              <a:extLst>
                <a:ext uri="{63B3BB69-23CF-44E3-9099-C40C66FF867C}">
                  <a14:compatExt spid="_x0000_s309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89</xdr:row>
          <xdr:rowOff>123825</xdr:rowOff>
        </xdr:from>
        <xdr:to>
          <xdr:col>2</xdr:col>
          <xdr:colOff>428625</xdr:colOff>
          <xdr:row>91</xdr:row>
          <xdr:rowOff>19050</xdr:rowOff>
        </xdr:to>
        <xdr:sp macro="" textlink="">
          <xdr:nvSpPr>
            <xdr:cNvPr id="30957" name="Check Box 237" hidden="1">
              <a:extLst>
                <a:ext uri="{63B3BB69-23CF-44E3-9099-C40C66FF867C}">
                  <a14:compatExt spid="_x0000_s309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89</xdr:row>
          <xdr:rowOff>123825</xdr:rowOff>
        </xdr:from>
        <xdr:to>
          <xdr:col>2</xdr:col>
          <xdr:colOff>771525</xdr:colOff>
          <xdr:row>91</xdr:row>
          <xdr:rowOff>19050</xdr:rowOff>
        </xdr:to>
        <xdr:sp macro="" textlink="">
          <xdr:nvSpPr>
            <xdr:cNvPr id="30958" name="Check Box 238" hidden="1">
              <a:extLst>
                <a:ext uri="{63B3BB69-23CF-44E3-9099-C40C66FF867C}">
                  <a14:compatExt spid="_x0000_s309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89</xdr:row>
          <xdr:rowOff>123825</xdr:rowOff>
        </xdr:from>
        <xdr:to>
          <xdr:col>3</xdr:col>
          <xdr:colOff>314325</xdr:colOff>
          <xdr:row>91</xdr:row>
          <xdr:rowOff>19050</xdr:rowOff>
        </xdr:to>
        <xdr:sp macro="" textlink="">
          <xdr:nvSpPr>
            <xdr:cNvPr id="30959" name="Check Box 239" hidden="1">
              <a:extLst>
                <a:ext uri="{63B3BB69-23CF-44E3-9099-C40C66FF867C}">
                  <a14:compatExt spid="_x0000_s309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91</xdr:row>
          <xdr:rowOff>123825</xdr:rowOff>
        </xdr:from>
        <xdr:to>
          <xdr:col>2</xdr:col>
          <xdr:colOff>428625</xdr:colOff>
          <xdr:row>93</xdr:row>
          <xdr:rowOff>19050</xdr:rowOff>
        </xdr:to>
        <xdr:sp macro="" textlink="">
          <xdr:nvSpPr>
            <xdr:cNvPr id="30960" name="Check Box 240" hidden="1">
              <a:extLst>
                <a:ext uri="{63B3BB69-23CF-44E3-9099-C40C66FF867C}">
                  <a14:compatExt spid="_x0000_s309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91</xdr:row>
          <xdr:rowOff>123825</xdr:rowOff>
        </xdr:from>
        <xdr:to>
          <xdr:col>2</xdr:col>
          <xdr:colOff>771525</xdr:colOff>
          <xdr:row>93</xdr:row>
          <xdr:rowOff>19050</xdr:rowOff>
        </xdr:to>
        <xdr:sp macro="" textlink="">
          <xdr:nvSpPr>
            <xdr:cNvPr id="30961" name="Check Box 241" hidden="1">
              <a:extLst>
                <a:ext uri="{63B3BB69-23CF-44E3-9099-C40C66FF867C}">
                  <a14:compatExt spid="_x0000_s309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91</xdr:row>
          <xdr:rowOff>123825</xdr:rowOff>
        </xdr:from>
        <xdr:to>
          <xdr:col>3</xdr:col>
          <xdr:colOff>314325</xdr:colOff>
          <xdr:row>93</xdr:row>
          <xdr:rowOff>19050</xdr:rowOff>
        </xdr:to>
        <xdr:sp macro="" textlink="">
          <xdr:nvSpPr>
            <xdr:cNvPr id="30962" name="Check Box 242" hidden="1">
              <a:extLst>
                <a:ext uri="{63B3BB69-23CF-44E3-9099-C40C66FF867C}">
                  <a14:compatExt spid="_x0000_s309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93</xdr:row>
          <xdr:rowOff>123825</xdr:rowOff>
        </xdr:from>
        <xdr:to>
          <xdr:col>2</xdr:col>
          <xdr:colOff>428625</xdr:colOff>
          <xdr:row>95</xdr:row>
          <xdr:rowOff>19050</xdr:rowOff>
        </xdr:to>
        <xdr:sp macro="" textlink="">
          <xdr:nvSpPr>
            <xdr:cNvPr id="30963" name="Check Box 243" hidden="1">
              <a:extLst>
                <a:ext uri="{63B3BB69-23CF-44E3-9099-C40C66FF867C}">
                  <a14:compatExt spid="_x0000_s309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93</xdr:row>
          <xdr:rowOff>123825</xdr:rowOff>
        </xdr:from>
        <xdr:to>
          <xdr:col>2</xdr:col>
          <xdr:colOff>771525</xdr:colOff>
          <xdr:row>95</xdr:row>
          <xdr:rowOff>19050</xdr:rowOff>
        </xdr:to>
        <xdr:sp macro="" textlink="">
          <xdr:nvSpPr>
            <xdr:cNvPr id="30964" name="Check Box 244" hidden="1">
              <a:extLst>
                <a:ext uri="{63B3BB69-23CF-44E3-9099-C40C66FF867C}">
                  <a14:compatExt spid="_x0000_s309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93</xdr:row>
          <xdr:rowOff>123825</xdr:rowOff>
        </xdr:from>
        <xdr:to>
          <xdr:col>3</xdr:col>
          <xdr:colOff>314325</xdr:colOff>
          <xdr:row>95</xdr:row>
          <xdr:rowOff>19050</xdr:rowOff>
        </xdr:to>
        <xdr:sp macro="" textlink="">
          <xdr:nvSpPr>
            <xdr:cNvPr id="30965" name="Check Box 245" hidden="1">
              <a:extLst>
                <a:ext uri="{63B3BB69-23CF-44E3-9099-C40C66FF867C}">
                  <a14:compatExt spid="_x0000_s309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95</xdr:row>
          <xdr:rowOff>123825</xdr:rowOff>
        </xdr:from>
        <xdr:to>
          <xdr:col>2</xdr:col>
          <xdr:colOff>428625</xdr:colOff>
          <xdr:row>97</xdr:row>
          <xdr:rowOff>19050</xdr:rowOff>
        </xdr:to>
        <xdr:sp macro="" textlink="">
          <xdr:nvSpPr>
            <xdr:cNvPr id="30966" name="Check Box 246" hidden="1">
              <a:extLst>
                <a:ext uri="{63B3BB69-23CF-44E3-9099-C40C66FF867C}">
                  <a14:compatExt spid="_x0000_s309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95</xdr:row>
          <xdr:rowOff>123825</xdr:rowOff>
        </xdr:from>
        <xdr:to>
          <xdr:col>2</xdr:col>
          <xdr:colOff>771525</xdr:colOff>
          <xdr:row>97</xdr:row>
          <xdr:rowOff>19050</xdr:rowOff>
        </xdr:to>
        <xdr:sp macro="" textlink="">
          <xdr:nvSpPr>
            <xdr:cNvPr id="30967" name="Check Box 247" hidden="1">
              <a:extLst>
                <a:ext uri="{63B3BB69-23CF-44E3-9099-C40C66FF867C}">
                  <a14:compatExt spid="_x0000_s309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95</xdr:row>
          <xdr:rowOff>123825</xdr:rowOff>
        </xdr:from>
        <xdr:to>
          <xdr:col>3</xdr:col>
          <xdr:colOff>314325</xdr:colOff>
          <xdr:row>97</xdr:row>
          <xdr:rowOff>19050</xdr:rowOff>
        </xdr:to>
        <xdr:sp macro="" textlink="">
          <xdr:nvSpPr>
            <xdr:cNvPr id="30968" name="Check Box 248" hidden="1">
              <a:extLst>
                <a:ext uri="{63B3BB69-23CF-44E3-9099-C40C66FF867C}">
                  <a14:compatExt spid="_x0000_s309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97</xdr:row>
          <xdr:rowOff>123825</xdr:rowOff>
        </xdr:from>
        <xdr:to>
          <xdr:col>2</xdr:col>
          <xdr:colOff>428625</xdr:colOff>
          <xdr:row>99</xdr:row>
          <xdr:rowOff>19050</xdr:rowOff>
        </xdr:to>
        <xdr:sp macro="" textlink="">
          <xdr:nvSpPr>
            <xdr:cNvPr id="30969" name="Check Box 249" hidden="1">
              <a:extLst>
                <a:ext uri="{63B3BB69-23CF-44E3-9099-C40C66FF867C}">
                  <a14:compatExt spid="_x0000_s309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97</xdr:row>
          <xdr:rowOff>123825</xdr:rowOff>
        </xdr:from>
        <xdr:to>
          <xdr:col>2</xdr:col>
          <xdr:colOff>771525</xdr:colOff>
          <xdr:row>99</xdr:row>
          <xdr:rowOff>19050</xdr:rowOff>
        </xdr:to>
        <xdr:sp macro="" textlink="">
          <xdr:nvSpPr>
            <xdr:cNvPr id="30970" name="Check Box 250" hidden="1">
              <a:extLst>
                <a:ext uri="{63B3BB69-23CF-44E3-9099-C40C66FF867C}">
                  <a14:compatExt spid="_x0000_s309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97</xdr:row>
          <xdr:rowOff>123825</xdr:rowOff>
        </xdr:from>
        <xdr:to>
          <xdr:col>3</xdr:col>
          <xdr:colOff>314325</xdr:colOff>
          <xdr:row>99</xdr:row>
          <xdr:rowOff>19050</xdr:rowOff>
        </xdr:to>
        <xdr:sp macro="" textlink="">
          <xdr:nvSpPr>
            <xdr:cNvPr id="30971" name="Check Box 251" hidden="1">
              <a:extLst>
                <a:ext uri="{63B3BB69-23CF-44E3-9099-C40C66FF867C}">
                  <a14:compatExt spid="_x0000_s309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99</xdr:row>
          <xdr:rowOff>123825</xdr:rowOff>
        </xdr:from>
        <xdr:to>
          <xdr:col>2</xdr:col>
          <xdr:colOff>428625</xdr:colOff>
          <xdr:row>101</xdr:row>
          <xdr:rowOff>19050</xdr:rowOff>
        </xdr:to>
        <xdr:sp macro="" textlink="">
          <xdr:nvSpPr>
            <xdr:cNvPr id="30972" name="Check Box 252" hidden="1">
              <a:extLst>
                <a:ext uri="{63B3BB69-23CF-44E3-9099-C40C66FF867C}">
                  <a14:compatExt spid="_x0000_s309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99</xdr:row>
          <xdr:rowOff>123825</xdr:rowOff>
        </xdr:from>
        <xdr:to>
          <xdr:col>2</xdr:col>
          <xdr:colOff>771525</xdr:colOff>
          <xdr:row>101</xdr:row>
          <xdr:rowOff>19050</xdr:rowOff>
        </xdr:to>
        <xdr:sp macro="" textlink="">
          <xdr:nvSpPr>
            <xdr:cNvPr id="30973" name="Check Box 253" hidden="1">
              <a:extLst>
                <a:ext uri="{63B3BB69-23CF-44E3-9099-C40C66FF867C}">
                  <a14:compatExt spid="_x0000_s309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99</xdr:row>
          <xdr:rowOff>123825</xdr:rowOff>
        </xdr:from>
        <xdr:to>
          <xdr:col>3</xdr:col>
          <xdr:colOff>314325</xdr:colOff>
          <xdr:row>101</xdr:row>
          <xdr:rowOff>19050</xdr:rowOff>
        </xdr:to>
        <xdr:sp macro="" textlink="">
          <xdr:nvSpPr>
            <xdr:cNvPr id="30974" name="Check Box 254" hidden="1">
              <a:extLst>
                <a:ext uri="{63B3BB69-23CF-44E3-9099-C40C66FF867C}">
                  <a14:compatExt spid="_x0000_s309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101</xdr:row>
          <xdr:rowOff>123825</xdr:rowOff>
        </xdr:from>
        <xdr:to>
          <xdr:col>2</xdr:col>
          <xdr:colOff>428625</xdr:colOff>
          <xdr:row>103</xdr:row>
          <xdr:rowOff>19050</xdr:rowOff>
        </xdr:to>
        <xdr:sp macro="" textlink="">
          <xdr:nvSpPr>
            <xdr:cNvPr id="30975" name="Check Box 255" hidden="1">
              <a:extLst>
                <a:ext uri="{63B3BB69-23CF-44E3-9099-C40C66FF867C}">
                  <a14:compatExt spid="_x0000_s309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371475</xdr:colOff>
          <xdr:row>101</xdr:row>
          <xdr:rowOff>123825</xdr:rowOff>
        </xdr:from>
        <xdr:to>
          <xdr:col>2</xdr:col>
          <xdr:colOff>771525</xdr:colOff>
          <xdr:row>103</xdr:row>
          <xdr:rowOff>19050</xdr:rowOff>
        </xdr:to>
        <xdr:sp macro="" textlink="">
          <xdr:nvSpPr>
            <xdr:cNvPr id="30976" name="Check Box 256" hidden="1">
              <a:extLst>
                <a:ext uri="{63B3BB69-23CF-44E3-9099-C40C66FF867C}">
                  <a14:compatExt spid="_x0000_s309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Uto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101</xdr:row>
          <xdr:rowOff>123825</xdr:rowOff>
        </xdr:from>
        <xdr:to>
          <xdr:col>3</xdr:col>
          <xdr:colOff>314325</xdr:colOff>
          <xdr:row>103</xdr:row>
          <xdr:rowOff>19050</xdr:rowOff>
        </xdr:to>
        <xdr:sp macro="" textlink="">
          <xdr:nvSpPr>
            <xdr:cNvPr id="30977" name="Check Box 257" hidden="1">
              <a:extLst>
                <a:ext uri="{63B3BB69-23CF-44E3-9099-C40C66FF867C}">
                  <a14:compatExt spid="_x0000_s30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Sri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108</xdr:row>
          <xdr:rowOff>142875</xdr:rowOff>
        </xdr:from>
        <xdr:to>
          <xdr:col>2</xdr:col>
          <xdr:colOff>638175</xdr:colOff>
          <xdr:row>110</xdr:row>
          <xdr:rowOff>28575</xdr:rowOff>
        </xdr:to>
        <xdr:sp macro="" textlink="">
          <xdr:nvSpPr>
            <xdr:cNvPr id="30978" name="Check Box 258" hidden="1">
              <a:extLst>
                <a:ext uri="{63B3BB69-23CF-44E3-9099-C40C66FF867C}">
                  <a14:compatExt spid="_x0000_s30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Si GT_M [M]</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733425</xdr:colOff>
          <xdr:row>108</xdr:row>
          <xdr:rowOff>142875</xdr:rowOff>
        </xdr:from>
        <xdr:to>
          <xdr:col>3</xdr:col>
          <xdr:colOff>733425</xdr:colOff>
          <xdr:row>110</xdr:row>
          <xdr:rowOff>28575</xdr:rowOff>
        </xdr:to>
        <xdr:sp macro="" textlink="">
          <xdr:nvSpPr>
            <xdr:cNvPr id="30982" name="Check Box 262" hidden="1">
              <a:extLst>
                <a:ext uri="{63B3BB69-23CF-44E3-9099-C40C66FF867C}">
                  <a14:compatExt spid="_x0000_s30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Si Q_M [MQ]</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108</xdr:row>
          <xdr:rowOff>142875</xdr:rowOff>
        </xdr:from>
        <xdr:to>
          <xdr:col>5</xdr:col>
          <xdr:colOff>19050</xdr:colOff>
          <xdr:row>110</xdr:row>
          <xdr:rowOff>28575</xdr:rowOff>
        </xdr:to>
        <xdr:sp macro="" textlink="">
          <xdr:nvSpPr>
            <xdr:cNvPr id="30983" name="Check Box 263" hidden="1">
              <a:extLst>
                <a:ext uri="{63B3BB69-23CF-44E3-9099-C40C66FF867C}">
                  <a14:compatExt spid="_x0000_s309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Do_M [MP]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109</xdr:row>
          <xdr:rowOff>38100</xdr:rowOff>
        </xdr:from>
        <xdr:to>
          <xdr:col>6</xdr:col>
          <xdr:colOff>285750</xdr:colOff>
          <xdr:row>110</xdr:row>
          <xdr:rowOff>95250</xdr:rowOff>
        </xdr:to>
        <xdr:sp macro="" textlink="">
          <xdr:nvSpPr>
            <xdr:cNvPr id="30985" name="Check Box 265" hidden="1">
              <a:extLst>
                <a:ext uri="{63B3BB69-23CF-44E3-9099-C40C66FF867C}">
                  <a14:compatExt spid="_x0000_s309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Prekršaj pravila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109</xdr:row>
          <xdr:rowOff>133350</xdr:rowOff>
        </xdr:from>
        <xdr:to>
          <xdr:col>2</xdr:col>
          <xdr:colOff>638175</xdr:colOff>
          <xdr:row>111</xdr:row>
          <xdr:rowOff>28575</xdr:rowOff>
        </xdr:to>
        <xdr:sp macro="" textlink="">
          <xdr:nvSpPr>
            <xdr:cNvPr id="30986" name="Check Box 266" hidden="1">
              <a:extLst>
                <a:ext uri="{63B3BB69-23CF-44E3-9099-C40C66FF867C}">
                  <a14:compatExt spid="_x0000_s309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Si GT_Ž  [Ž]</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733425</xdr:colOff>
          <xdr:row>109</xdr:row>
          <xdr:rowOff>133350</xdr:rowOff>
        </xdr:from>
        <xdr:to>
          <xdr:col>3</xdr:col>
          <xdr:colOff>733425</xdr:colOff>
          <xdr:row>111</xdr:row>
          <xdr:rowOff>28575</xdr:rowOff>
        </xdr:to>
        <xdr:sp macro="" textlink="">
          <xdr:nvSpPr>
            <xdr:cNvPr id="30987" name="Check Box 267" hidden="1">
              <a:extLst>
                <a:ext uri="{63B3BB69-23CF-44E3-9099-C40C66FF867C}">
                  <a14:compatExt spid="_x0000_s309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Si Q_Ž  [ŽQ]</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109</xdr:row>
          <xdr:rowOff>133350</xdr:rowOff>
        </xdr:from>
        <xdr:to>
          <xdr:col>5</xdr:col>
          <xdr:colOff>19050</xdr:colOff>
          <xdr:row>111</xdr:row>
          <xdr:rowOff>28575</xdr:rowOff>
        </xdr:to>
        <xdr:sp macro="" textlink="">
          <xdr:nvSpPr>
            <xdr:cNvPr id="30988" name="Check Box 268" hidden="1">
              <a:extLst>
                <a:ext uri="{63B3BB69-23CF-44E3-9099-C40C66FF867C}">
                  <a14:compatExt spid="_x0000_s309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hr-HR" sz="800" b="0" i="0" u="none" strike="noStrike" baseline="0">
                  <a:solidFill>
                    <a:srgbClr val="000000"/>
                  </a:solidFill>
                  <a:latin typeface="Tahoma"/>
                  <a:ea typeface="Tahoma"/>
                  <a:cs typeface="Tahoma"/>
                </a:rPr>
                <a:t>Do_Ž  [ŽP]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57150</xdr:colOff>
      <xdr:row>0</xdr:row>
      <xdr:rowOff>66675</xdr:rowOff>
    </xdr:from>
    <xdr:to>
      <xdr:col>1</xdr:col>
      <xdr:colOff>1190625</xdr:colOff>
      <xdr:row>2</xdr:row>
      <xdr:rowOff>28575</xdr:rowOff>
    </xdr:to>
    <xdr:pic>
      <xdr:nvPicPr>
        <xdr:cNvPr id="3233" name="Picture 22" descr="HTS-logo-Kosturi"/>
        <xdr:cNvPicPr>
          <a:picLocks noChangeAspect="1" noChangeArrowheads="1"/>
        </xdr:cNvPicPr>
      </xdr:nvPicPr>
      <xdr:blipFill>
        <a:blip xmlns:r="http://schemas.openxmlformats.org/officeDocument/2006/relationships" r:embed="rId1" cstate="print"/>
        <a:srcRect/>
        <a:stretch>
          <a:fillRect/>
        </a:stretch>
      </xdr:blipFill>
      <xdr:spPr bwMode="auto">
        <a:xfrm>
          <a:off x="57150" y="66675"/>
          <a:ext cx="1447800" cy="5238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104775</xdr:colOff>
      <xdr:row>0</xdr:row>
      <xdr:rowOff>19050</xdr:rowOff>
    </xdr:from>
    <xdr:to>
      <xdr:col>7</xdr:col>
      <xdr:colOff>1362075</xdr:colOff>
      <xdr:row>2</xdr:row>
      <xdr:rowOff>0</xdr:rowOff>
    </xdr:to>
    <xdr:pic>
      <xdr:nvPicPr>
        <xdr:cNvPr id="4424" name="Picture 36" descr="HTS-logo-Kosturi"/>
        <xdr:cNvPicPr>
          <a:picLocks noChangeAspect="1" noChangeArrowheads="1"/>
        </xdr:cNvPicPr>
      </xdr:nvPicPr>
      <xdr:blipFill>
        <a:blip xmlns:r="http://schemas.openxmlformats.org/officeDocument/2006/relationships" r:embed="rId1" cstate="print"/>
        <a:srcRect/>
        <a:stretch>
          <a:fillRect/>
        </a:stretch>
      </xdr:blipFill>
      <xdr:spPr bwMode="auto">
        <a:xfrm>
          <a:off x="5105400" y="19050"/>
          <a:ext cx="1257300" cy="457200"/>
        </a:xfrm>
        <a:prstGeom prst="rect">
          <a:avLst/>
        </a:prstGeom>
        <a:noFill/>
        <a:ln w="9525">
          <a:noFill/>
          <a:miter lim="800000"/>
          <a:headEnd/>
          <a:tailEnd/>
        </a:ln>
      </xdr:spPr>
    </xdr:pic>
    <xdr:clientData/>
  </xdr:twoCellAnchor>
  <xdr:twoCellAnchor editAs="oneCell">
    <xdr:from>
      <xdr:col>8</xdr:col>
      <xdr:colOff>19050</xdr:colOff>
      <xdr:row>10</xdr:row>
      <xdr:rowOff>9525</xdr:rowOff>
    </xdr:from>
    <xdr:to>
      <xdr:col>13</xdr:col>
      <xdr:colOff>571500</xdr:colOff>
      <xdr:row>45</xdr:row>
      <xdr:rowOff>9525</xdr:rowOff>
    </xdr:to>
    <xdr:sp macro="" textlink="">
      <xdr:nvSpPr>
        <xdr:cNvPr id="4121" name="Text Box 25"/>
        <xdr:cNvSpPr txBox="1">
          <a:spLocks noChangeArrowheads="1"/>
        </xdr:cNvSpPr>
      </xdr:nvSpPr>
      <xdr:spPr bwMode="auto">
        <a:xfrm>
          <a:off x="6400800" y="1895475"/>
          <a:ext cx="3600450" cy="9001125"/>
        </a:xfrm>
        <a:prstGeom prst="rect">
          <a:avLst/>
        </a:prstGeom>
        <a:solidFill>
          <a:srgbClr val="CCFFCC"/>
        </a:solidFill>
        <a:ln w="9525">
          <a:noFill/>
          <a:miter lim="800000"/>
          <a:headEnd/>
          <a:tailEnd/>
        </a:ln>
        <a:effectLst/>
      </xdr:spPr>
      <xdr:txBody>
        <a:bodyPr vertOverflow="clip" wrap="square" lIns="36000" tIns="36000" rIns="36000" bIns="36000" anchor="t" upright="1"/>
        <a:lstStyle/>
        <a:p>
          <a:pPr algn="l" rtl="1">
            <a:defRPr sz="1000"/>
          </a:pPr>
          <a:r>
            <a:rPr lang="vi-VN" sz="1100" b="1" i="0" strike="noStrike">
              <a:solidFill>
                <a:srgbClr val="000000"/>
              </a:solidFill>
              <a:latin typeface="Verdana"/>
            </a:rPr>
            <a:t>PRAVO NASTUPA</a:t>
          </a:r>
          <a:endParaRPr lang="vi-VN" sz="1000" b="1" i="0" strike="noStrike">
            <a:solidFill>
              <a:srgbClr val="000000"/>
            </a:solidFill>
            <a:latin typeface="Verdana"/>
          </a:endParaRPr>
        </a:p>
        <a:p>
          <a:pPr algn="l" rtl="1">
            <a:defRPr sz="1000"/>
          </a:pPr>
          <a:endParaRPr lang="vi-VN" sz="1000" b="1" i="0" strike="noStrike">
            <a:solidFill>
              <a:srgbClr val="000000"/>
            </a:solidFill>
            <a:latin typeface="Verdana"/>
          </a:endParaRPr>
        </a:p>
        <a:p>
          <a:pPr algn="l" rtl="1">
            <a:defRPr sz="1000"/>
          </a:pPr>
          <a:r>
            <a:rPr lang="vi-VN" sz="1000" b="0" i="0" strike="noStrike">
              <a:solidFill>
                <a:srgbClr val="000000"/>
              </a:solidFill>
              <a:latin typeface="Verdana"/>
            </a:rPr>
            <a:t>4.1. Na svim natjecanjima pravo nastupa imaju samo igrači koji su registrirani na temelju Registracijskog pravilnika HTS-a, a nisu kažnjeni ili suspendirani.</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4.2. Na pojedinačnim prvenstvima Hrvatske ne mogu nastupiti igrači koji su registrirani pri HTS-u kao strani državljani.</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4.3. Na svim natjecanjima osim na pojedinačnim prvenstvima Hrvatske mogu nastupiti i strani državljani. </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4.4. </a:t>
          </a:r>
          <a:r>
            <a:rPr lang="vi-VN" sz="1000" b="1" i="0" strike="noStrike">
              <a:solidFill>
                <a:srgbClr val="000000"/>
              </a:solidFill>
              <a:latin typeface="Verdana"/>
            </a:rPr>
            <a:t>Pravo nastupa u pojedinim kategorijama</a:t>
          </a:r>
          <a:r>
            <a:rPr lang="vi-VN" sz="1000" b="0" i="0" strike="noStrike">
              <a:solidFill>
                <a:srgbClr val="000000"/>
              </a:solidFill>
              <a:latin typeface="Verdana"/>
            </a:rPr>
            <a:t> imaju: </a:t>
          </a:r>
        </a:p>
        <a:p>
          <a:pPr algn="l" rtl="1">
            <a:defRPr sz="1000"/>
          </a:pPr>
          <a:r>
            <a:rPr lang="vi-VN" sz="1000" b="0" i="0" strike="noStrike">
              <a:solidFill>
                <a:srgbClr val="000000"/>
              </a:solidFill>
              <a:latin typeface="Verdana"/>
            </a:rPr>
            <a:t>- u kategoriji </a:t>
          </a:r>
          <a:r>
            <a:rPr lang="vi-VN" sz="1000" b="1" i="0" strike="noStrike">
              <a:solidFill>
                <a:srgbClr val="000000"/>
              </a:solidFill>
              <a:latin typeface="Verdana"/>
            </a:rPr>
            <a:t>seniorki i seniora</a:t>
          </a:r>
          <a:r>
            <a:rPr lang="vi-VN" sz="1000" b="0" i="0" strike="noStrike">
              <a:solidFill>
                <a:srgbClr val="000000"/>
              </a:solidFill>
              <a:latin typeface="Verdana"/>
            </a:rPr>
            <a:t> - svi igrači koji u tekućoj godini navršavaju 14 godina ili stariji</a:t>
          </a:r>
        </a:p>
        <a:p>
          <a:pPr algn="l" rtl="1">
            <a:defRPr sz="1000"/>
          </a:pPr>
          <a:r>
            <a:rPr lang="vi-VN" sz="1000" b="0" i="0" strike="noStrike">
              <a:solidFill>
                <a:srgbClr val="000000"/>
              </a:solidFill>
              <a:latin typeface="Verdana"/>
            </a:rPr>
            <a:t>- u kategoriji </a:t>
          </a:r>
          <a:r>
            <a:rPr lang="vi-VN" sz="1000" b="1" i="0" strike="noStrike">
              <a:solidFill>
                <a:srgbClr val="000000"/>
              </a:solidFill>
              <a:latin typeface="Verdana"/>
            </a:rPr>
            <a:t>juniorki i juniora do 18 godina</a:t>
          </a:r>
          <a:r>
            <a:rPr lang="vi-VN" sz="1000" b="0" i="0" strike="noStrike">
              <a:solidFill>
                <a:srgbClr val="000000"/>
              </a:solidFill>
              <a:latin typeface="Verdana"/>
            </a:rPr>
            <a:t> - svi igrači koji u tekućoj godini navršavaju najviše 18 godina i najmanje 13 godina</a:t>
          </a:r>
        </a:p>
        <a:p>
          <a:pPr algn="l" rtl="1">
            <a:defRPr sz="1000"/>
          </a:pPr>
          <a:r>
            <a:rPr lang="vi-VN" sz="1000" b="0" i="0" strike="noStrike">
              <a:solidFill>
                <a:srgbClr val="000000"/>
              </a:solidFill>
              <a:latin typeface="Verdana"/>
            </a:rPr>
            <a:t>- u kategoriji </a:t>
          </a:r>
          <a:r>
            <a:rPr lang="vi-VN" sz="1000" b="1" i="0" strike="noStrike">
              <a:solidFill>
                <a:srgbClr val="000000"/>
              </a:solidFill>
              <a:latin typeface="Verdana"/>
            </a:rPr>
            <a:t>juniorki i juniora do 16 godina</a:t>
          </a:r>
          <a:r>
            <a:rPr lang="vi-VN" sz="1000" b="0" i="0" strike="noStrike">
              <a:solidFill>
                <a:srgbClr val="000000"/>
              </a:solidFill>
              <a:latin typeface="Verdana"/>
            </a:rPr>
            <a:t> - svi igrači koji u tekućoj godini navršavaju najviše 16 godina i najmanje 12 godina</a:t>
          </a:r>
        </a:p>
        <a:p>
          <a:pPr algn="l" rtl="1">
            <a:defRPr sz="1000"/>
          </a:pPr>
          <a:r>
            <a:rPr lang="vi-VN" sz="1000" b="0" i="0" strike="noStrike">
              <a:solidFill>
                <a:srgbClr val="000000"/>
              </a:solidFill>
              <a:latin typeface="Verdana"/>
            </a:rPr>
            <a:t>- u kategoriji </a:t>
          </a:r>
          <a:r>
            <a:rPr lang="vi-VN" sz="1000" b="1" i="0" strike="noStrike">
              <a:solidFill>
                <a:srgbClr val="000000"/>
              </a:solidFill>
              <a:latin typeface="Verdana"/>
            </a:rPr>
            <a:t>djevojčica i dječaka do 14 godina</a:t>
          </a:r>
          <a:r>
            <a:rPr lang="vi-VN" sz="1000" b="0" i="0" strike="noStrike">
              <a:solidFill>
                <a:srgbClr val="000000"/>
              </a:solidFill>
              <a:latin typeface="Verdana"/>
            </a:rPr>
            <a:t> - svi igrači koji u tekućoj godini navršavaju 14 godina i mlađi</a:t>
          </a:r>
        </a:p>
        <a:p>
          <a:pPr algn="l" rtl="1">
            <a:defRPr sz="1000"/>
          </a:pPr>
          <a:r>
            <a:rPr lang="vi-VN" sz="1000" b="0" i="0" strike="noStrike">
              <a:solidFill>
                <a:srgbClr val="000000"/>
              </a:solidFill>
              <a:latin typeface="Verdana"/>
            </a:rPr>
            <a:t>- u kategoriji </a:t>
          </a:r>
          <a:r>
            <a:rPr lang="vi-VN" sz="1000" b="1" i="0" strike="noStrike">
              <a:solidFill>
                <a:srgbClr val="000000"/>
              </a:solidFill>
              <a:latin typeface="Verdana"/>
            </a:rPr>
            <a:t>djevojčica i dječaka do 12 godina</a:t>
          </a:r>
          <a:r>
            <a:rPr lang="vi-VN" sz="1000" b="0" i="0" strike="noStrike">
              <a:solidFill>
                <a:srgbClr val="000000"/>
              </a:solidFill>
              <a:latin typeface="Verdana"/>
            </a:rPr>
            <a:t> - svi igrači koji u tekućoj godini navršavaju 12 godina i mlađi</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4.5. Igrači koji u tekućoj godini navršavaju 13 godina mogu nastupiti na seniorskim turnirima samo uz odobrenje seniorskih izbornika.</a:t>
          </a:r>
        </a:p>
        <a:p>
          <a:pPr algn="l" rtl="1">
            <a:defRPr sz="1000"/>
          </a:pPr>
          <a:r>
            <a:rPr lang="vi-VN" sz="1000" b="0" i="0" strike="noStrike">
              <a:solidFill>
                <a:srgbClr val="000000"/>
              </a:solidFill>
              <a:latin typeface="Verdana"/>
            </a:rPr>
            <a:t>----------------------------------------------------</a:t>
          </a:r>
        </a:p>
        <a:p>
          <a:pPr algn="l" rtl="1">
            <a:lnSpc>
              <a:spcPts val="1100"/>
            </a:lnSpc>
            <a:defRPr sz="1000"/>
          </a:pPr>
          <a:r>
            <a:rPr lang="vi-VN" sz="1000" b="0" i="0" strike="noStrike">
              <a:solidFill>
                <a:srgbClr val="000000"/>
              </a:solidFill>
              <a:latin typeface="Verdana"/>
            </a:rPr>
            <a:t>4.6. Igrači koji u tekućoj godini navršavaju 12 godina mogu nastupiti na turnirima u kategoriji do 18 godina samo uz odobrenje izbornika do 18 godina.</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4.7. Igrači koji u tekućoj godini navršavaju 11 godina mogu nastupiti na turnirima u kategoriji do 16 godina samo uz odobrenje izbornika do 16 godina.</a:t>
          </a:r>
        </a:p>
        <a:p>
          <a:pPr algn="l" rtl="1">
            <a:lnSpc>
              <a:spcPts val="1100"/>
            </a:lnSpc>
            <a:defRPr sz="1000"/>
          </a:pPr>
          <a:r>
            <a:rPr lang="vi-VN" sz="1000" b="0" i="0" strike="noStrike">
              <a:solidFill>
                <a:srgbClr val="000000"/>
              </a:solidFill>
              <a:latin typeface="Verdana"/>
            </a:rPr>
            <a:t>----------------------------------------------------</a:t>
          </a:r>
        </a:p>
        <a:p>
          <a:pPr algn="l" rtl="1">
            <a:lnSpc>
              <a:spcPts val="1100"/>
            </a:lnSpc>
            <a:defRPr sz="1000"/>
          </a:pPr>
          <a:r>
            <a:rPr lang="vi-VN" sz="1000" b="0" i="0" strike="noStrike">
              <a:solidFill>
                <a:srgbClr val="000000"/>
              </a:solidFill>
              <a:latin typeface="Verdana"/>
            </a:rPr>
            <a:t>4.8. Nijedan igrač ne može započeti nastup na turniru ako još igra na prethodnom turniru, bilo pojedinačno bilo u igri parova. </a:t>
          </a:r>
        </a:p>
        <a:p>
          <a:pPr algn="l" rtl="1">
            <a:defRPr sz="1000"/>
          </a:pPr>
          <a:endParaRPr lang="vi-VN" sz="1000" b="0" i="0" strike="noStrike">
            <a:solidFill>
              <a:srgbClr val="000000"/>
            </a:solidFill>
            <a:latin typeface="Verdana"/>
          </a:endParaRPr>
        </a:p>
        <a:p>
          <a:pPr algn="l" rtl="1">
            <a:lnSpc>
              <a:spcPts val="1100"/>
            </a:lnSpc>
            <a:defRPr sz="1000"/>
          </a:pPr>
          <a:endParaRPr lang="vi-VN" sz="1000" b="0" i="0" strike="noStrike">
            <a:solidFill>
              <a:srgbClr val="000000"/>
            </a:solidFill>
            <a:latin typeface="Verdana"/>
          </a:endParaRPr>
        </a:p>
        <a:p>
          <a:pPr algn="l" rtl="1">
            <a:lnSpc>
              <a:spcPts val="1100"/>
            </a:lnSpc>
            <a:defRPr sz="1000"/>
          </a:pPr>
          <a:endParaRPr lang="vi-VN" sz="1000" b="0" i="0" strike="noStrike">
            <a:solidFill>
              <a:srgbClr val="000000"/>
            </a:solidFill>
            <a:latin typeface="Verdana"/>
          </a:endParaRPr>
        </a:p>
      </xdr:txBody>
    </xdr:sp>
    <xdr:clientData fPrintsWithSheet="0"/>
  </xdr:twoCellAnchor>
  <mc:AlternateContent xmlns:mc="http://schemas.openxmlformats.org/markup-compatibility/2006">
    <mc:Choice xmlns:a14="http://schemas.microsoft.com/office/drawing/2010/main" Requires="a14">
      <xdr:twoCellAnchor editAs="absolute">
        <xdr:from>
          <xdr:col>7</xdr:col>
          <xdr:colOff>361950</xdr:colOff>
          <xdr:row>0</xdr:row>
          <xdr:rowOff>0</xdr:rowOff>
        </xdr:from>
        <xdr:to>
          <xdr:col>8</xdr:col>
          <xdr:colOff>0</xdr:colOff>
          <xdr:row>3</xdr:row>
          <xdr:rowOff>19050</xdr:rowOff>
        </xdr:to>
        <xdr:grpSp>
          <xdr:nvGrpSpPr>
            <xdr:cNvPr id="4426" name="Group 24"/>
            <xdr:cNvGrpSpPr>
              <a:grpSpLocks/>
            </xdr:cNvGrpSpPr>
          </xdr:nvGrpSpPr>
          <xdr:grpSpPr bwMode="auto">
            <a:xfrm>
              <a:off x="5362575" y="0"/>
              <a:ext cx="1019175" cy="666750"/>
              <a:chOff x="563" y="0"/>
              <a:chExt cx="107" cy="70"/>
            </a:xfrm>
          </xdr:grpSpPr>
          <xdr:sp macro="" textlink="">
            <xdr:nvSpPr>
              <xdr:cNvPr id="4102" name="Si_Sort_Prezime" hidden="1">
                <a:extLst>
                  <a:ext uri="{63B3BB69-23CF-44E3-9099-C40C66FF867C}">
                    <a14:compatExt spid="_x0000_s4102"/>
                  </a:ext>
                </a:extLst>
              </xdr:cNvPr>
              <xdr:cNvSpPr/>
            </xdr:nvSpPr>
            <xdr:spPr>
              <a:xfrm>
                <a:off x="563" y="15"/>
                <a:ext cx="107" cy="21"/>
              </a:xfrm>
              <a:prstGeom prst="rect">
                <a:avLst/>
              </a:prstGeom>
            </xdr:spPr>
          </xdr:sp>
          <xdr:sp macro="" textlink="">
            <xdr:nvSpPr>
              <xdr:cNvPr id="4103" name="Si_Sort_Klub" hidden="1">
                <a:extLst>
                  <a:ext uri="{63B3BB69-23CF-44E3-9099-C40C66FF867C}">
                    <a14:compatExt spid="_x0000_s4103"/>
                  </a:ext>
                </a:extLst>
              </xdr:cNvPr>
              <xdr:cNvSpPr/>
            </xdr:nvSpPr>
            <xdr:spPr>
              <a:xfrm>
                <a:off x="563" y="32"/>
                <a:ext cx="107" cy="21"/>
              </a:xfrm>
              <a:prstGeom prst="rect">
                <a:avLst/>
              </a:prstGeom>
            </xdr:spPr>
          </xdr:sp>
          <xdr:sp macro="" textlink="">
            <xdr:nvSpPr>
              <xdr:cNvPr id="4104" name="Si_Sort_RangLista" hidden="1">
                <a:extLst>
                  <a:ext uri="{63B3BB69-23CF-44E3-9099-C40C66FF867C}">
                    <a14:compatExt spid="_x0000_s4104"/>
                  </a:ext>
                </a:extLst>
              </xdr:cNvPr>
              <xdr:cNvSpPr/>
            </xdr:nvSpPr>
            <xdr:spPr>
              <a:xfrm>
                <a:off x="563" y="49"/>
                <a:ext cx="107" cy="21"/>
              </a:xfrm>
              <a:prstGeom prst="rect">
                <a:avLst/>
              </a:prstGeom>
            </xdr:spPr>
          </xdr:sp>
          <xdr:sp macro="" textlink="">
            <xdr:nvSpPr>
              <xdr:cNvPr id="4105" name="Label1" hidden="1">
                <a:extLst>
                  <a:ext uri="{63B3BB69-23CF-44E3-9099-C40C66FF867C}">
                    <a14:compatExt spid="_x0000_s4105"/>
                  </a:ext>
                </a:extLst>
              </xdr:cNvPr>
              <xdr:cNvSpPr/>
            </xdr:nvSpPr>
            <xdr:spPr>
              <a:xfrm>
                <a:off x="563" y="0"/>
                <a:ext cx="107" cy="16"/>
              </a:xfrm>
              <a:prstGeom prst="rect">
                <a:avLst/>
              </a:prstGeom>
            </xdr:spPr>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152400</xdr:colOff>
          <xdr:row>0</xdr:row>
          <xdr:rowOff>0</xdr:rowOff>
        </xdr:from>
        <xdr:to>
          <xdr:col>5</xdr:col>
          <xdr:colOff>504825</xdr:colOff>
          <xdr:row>2</xdr:row>
          <xdr:rowOff>66675</xdr:rowOff>
        </xdr:to>
        <xdr:sp macro="" textlink="">
          <xdr:nvSpPr>
            <xdr:cNvPr id="4116" name="Button 20" hidden="1">
              <a:extLst>
                <a:ext uri="{63B3BB69-23CF-44E3-9099-C40C66FF867C}">
                  <a14:compatExt spid="_x0000_s41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hr-HR" sz="1000" b="1" i="0" u="none" strike="noStrike" baseline="0">
                  <a:solidFill>
                    <a:srgbClr val="000000"/>
                  </a:solidFill>
                  <a:latin typeface="Arial"/>
                  <a:cs typeface="Arial"/>
                </a:rPr>
                <a:t>PRENESI</a:t>
              </a:r>
              <a:r>
                <a:rPr lang="hr-HR" sz="1000" b="0" i="0" u="none" strike="noStrike" baseline="0">
                  <a:solidFill>
                    <a:srgbClr val="000000"/>
                  </a:solidFill>
                  <a:latin typeface="Arial"/>
                  <a:cs typeface="Arial"/>
                </a:rPr>
                <a:t> u </a:t>
              </a:r>
            </a:p>
            <a:p>
              <a:pPr algn="ctr" rtl="0">
                <a:defRPr sz="1000"/>
              </a:pPr>
              <a:r>
                <a:rPr lang="hr-HR" sz="1000" b="0" i="0" u="none" strike="noStrike" baseline="0">
                  <a:solidFill>
                    <a:srgbClr val="000000"/>
                  </a:solidFill>
                  <a:latin typeface="Arial"/>
                  <a:cs typeface="Arial"/>
                </a:rPr>
                <a:t>Si GT priprema</a:t>
              </a:r>
            </a:p>
            <a:p>
              <a:pPr algn="ctr" rtl="0">
                <a:defRPr sz="1000"/>
              </a:pPr>
              <a:r>
                <a:rPr lang="hr-HR" sz="1000" b="0" i="0" u="none" strike="noStrike" baseline="0">
                  <a:solidFill>
                    <a:srgbClr val="000000"/>
                  </a:solidFill>
                  <a:latin typeface="Arial"/>
                  <a:cs typeface="Arial"/>
                </a:rPr>
                <a:t>(označi redove)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152400</xdr:colOff>
          <xdr:row>2</xdr:row>
          <xdr:rowOff>76200</xdr:rowOff>
        </xdr:from>
        <xdr:to>
          <xdr:col>5</xdr:col>
          <xdr:colOff>504825</xdr:colOff>
          <xdr:row>5</xdr:row>
          <xdr:rowOff>104775</xdr:rowOff>
        </xdr:to>
        <xdr:sp macro="" textlink="">
          <xdr:nvSpPr>
            <xdr:cNvPr id="4118" name="Button 22" hidden="1">
              <a:extLst>
                <a:ext uri="{63B3BB69-23CF-44E3-9099-C40C66FF867C}">
                  <a14:compatExt spid="_x0000_s41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hr-HR" sz="1000" b="1" i="0" u="none" strike="noStrike" baseline="0">
                  <a:solidFill>
                    <a:srgbClr val="000000"/>
                  </a:solidFill>
                  <a:latin typeface="Arial"/>
                  <a:cs typeface="Arial"/>
                </a:rPr>
                <a:t>DODAJ </a:t>
              </a:r>
              <a:r>
                <a:rPr lang="hr-HR" sz="1000" b="0" i="0" u="none" strike="noStrike" baseline="0">
                  <a:solidFill>
                    <a:srgbClr val="000000"/>
                  </a:solidFill>
                  <a:latin typeface="Arial"/>
                  <a:cs typeface="Arial"/>
                </a:rPr>
                <a:t>u </a:t>
              </a:r>
            </a:p>
            <a:p>
              <a:pPr algn="ctr" rtl="0">
                <a:defRPr sz="1000"/>
              </a:pPr>
              <a:r>
                <a:rPr lang="hr-HR" sz="1000" b="0" i="0" u="none" strike="noStrike" baseline="0">
                  <a:solidFill>
                    <a:srgbClr val="000000"/>
                  </a:solidFill>
                  <a:latin typeface="Arial"/>
                  <a:cs typeface="Arial"/>
                </a:rPr>
                <a:t>Si GT priprema</a:t>
              </a:r>
            </a:p>
            <a:p>
              <a:pPr algn="ctr" rtl="0">
                <a:defRPr sz="1000"/>
              </a:pPr>
              <a:r>
                <a:rPr lang="hr-HR" sz="1000" b="0" i="0" u="none" strike="noStrike" baseline="0">
                  <a:solidFill>
                    <a:srgbClr val="000000"/>
                  </a:solidFill>
                  <a:latin typeface="Arial"/>
                  <a:cs typeface="Arial"/>
                </a:rPr>
                <a:t>(označi 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542925</xdr:colOff>
          <xdr:row>0</xdr:row>
          <xdr:rowOff>0</xdr:rowOff>
        </xdr:from>
        <xdr:to>
          <xdr:col>7</xdr:col>
          <xdr:colOff>314325</xdr:colOff>
          <xdr:row>2</xdr:row>
          <xdr:rowOff>66675</xdr:rowOff>
        </xdr:to>
        <xdr:sp macro="" textlink="">
          <xdr:nvSpPr>
            <xdr:cNvPr id="4129" name="Button 33" hidden="1">
              <a:extLst>
                <a:ext uri="{63B3BB69-23CF-44E3-9099-C40C66FF867C}">
                  <a14:compatExt spid="_x0000_s41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hr-HR" sz="1000" b="1" i="0" u="none" strike="noStrike" baseline="0">
                  <a:solidFill>
                    <a:srgbClr val="000000"/>
                  </a:solidFill>
                  <a:latin typeface="Arial"/>
                  <a:cs typeface="Arial"/>
                </a:rPr>
                <a:t>PRENESI</a:t>
              </a:r>
              <a:r>
                <a:rPr lang="hr-HR" sz="1000" b="0" i="0" u="none" strike="noStrike" baseline="0">
                  <a:solidFill>
                    <a:srgbClr val="000000"/>
                  </a:solidFill>
                  <a:latin typeface="Arial"/>
                  <a:cs typeface="Arial"/>
                </a:rPr>
                <a:t> u </a:t>
              </a:r>
            </a:p>
            <a:p>
              <a:pPr algn="ctr" rtl="0">
                <a:defRPr sz="1000"/>
              </a:pPr>
              <a:r>
                <a:rPr lang="hr-HR" sz="1000" b="0" i="0" u="none" strike="noStrike" baseline="0">
                  <a:solidFill>
                    <a:srgbClr val="000000"/>
                  </a:solidFill>
                  <a:latin typeface="Arial"/>
                  <a:cs typeface="Arial"/>
                </a:rPr>
                <a:t>Si Q priprema</a:t>
              </a:r>
            </a:p>
            <a:p>
              <a:pPr algn="ctr" rtl="0">
                <a:defRPr sz="1000"/>
              </a:pPr>
              <a:r>
                <a:rPr lang="hr-HR" sz="1000" b="0" i="0" u="none" strike="noStrike" baseline="0">
                  <a:solidFill>
                    <a:srgbClr val="000000"/>
                  </a:solidFill>
                  <a:latin typeface="Arial"/>
                  <a:cs typeface="Arial"/>
                </a:rPr>
                <a:t>(označi redove)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542925</xdr:colOff>
          <xdr:row>2</xdr:row>
          <xdr:rowOff>76200</xdr:rowOff>
        </xdr:from>
        <xdr:to>
          <xdr:col>7</xdr:col>
          <xdr:colOff>314325</xdr:colOff>
          <xdr:row>5</xdr:row>
          <xdr:rowOff>104775</xdr:rowOff>
        </xdr:to>
        <xdr:sp macro="" textlink="">
          <xdr:nvSpPr>
            <xdr:cNvPr id="4130" name="Button 34" hidden="1">
              <a:extLst>
                <a:ext uri="{63B3BB69-23CF-44E3-9099-C40C66FF867C}">
                  <a14:compatExt spid="_x0000_s41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hr-HR" sz="1000" b="1" i="0" u="none" strike="noStrike" baseline="0">
                  <a:solidFill>
                    <a:srgbClr val="000000"/>
                  </a:solidFill>
                  <a:latin typeface="Arial"/>
                  <a:cs typeface="Arial"/>
                </a:rPr>
                <a:t>DODAJ </a:t>
              </a:r>
              <a:r>
                <a:rPr lang="hr-HR" sz="1000" b="0" i="0" u="none" strike="noStrike" baseline="0">
                  <a:solidFill>
                    <a:srgbClr val="000000"/>
                  </a:solidFill>
                  <a:latin typeface="Arial"/>
                  <a:cs typeface="Arial"/>
                </a:rPr>
                <a:t>u </a:t>
              </a:r>
            </a:p>
            <a:p>
              <a:pPr algn="ctr" rtl="0">
                <a:defRPr sz="1000"/>
              </a:pPr>
              <a:r>
                <a:rPr lang="hr-HR" sz="1000" b="0" i="0" u="none" strike="noStrike" baseline="0">
                  <a:solidFill>
                    <a:srgbClr val="000000"/>
                  </a:solidFill>
                  <a:latin typeface="Arial"/>
                  <a:cs typeface="Arial"/>
                </a:rPr>
                <a:t>Si Q priprema</a:t>
              </a:r>
            </a:p>
            <a:p>
              <a:pPr algn="ctr" rtl="0">
                <a:defRPr sz="1000"/>
              </a:pPr>
              <a:r>
                <a:rPr lang="hr-HR" sz="1000" b="0" i="0" u="none" strike="noStrike" baseline="0">
                  <a:solidFill>
                    <a:srgbClr val="000000"/>
                  </a:solidFill>
                  <a:latin typeface="Arial"/>
                  <a:cs typeface="Arial"/>
                </a:rPr>
                <a:t>(označi red)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7</xdr:col>
      <xdr:colOff>104775</xdr:colOff>
      <xdr:row>0</xdr:row>
      <xdr:rowOff>19050</xdr:rowOff>
    </xdr:from>
    <xdr:to>
      <xdr:col>7</xdr:col>
      <xdr:colOff>1362075</xdr:colOff>
      <xdr:row>2</xdr:row>
      <xdr:rowOff>0</xdr:rowOff>
    </xdr:to>
    <xdr:pic>
      <xdr:nvPicPr>
        <xdr:cNvPr id="5463" name="Picture 44" descr="HTS-logo-Kosturi"/>
        <xdr:cNvPicPr>
          <a:picLocks noChangeAspect="1" noChangeArrowheads="1"/>
        </xdr:cNvPicPr>
      </xdr:nvPicPr>
      <xdr:blipFill>
        <a:blip xmlns:r="http://schemas.openxmlformats.org/officeDocument/2006/relationships" r:embed="rId1" cstate="print"/>
        <a:srcRect/>
        <a:stretch>
          <a:fillRect/>
        </a:stretch>
      </xdr:blipFill>
      <xdr:spPr bwMode="auto">
        <a:xfrm>
          <a:off x="5105400" y="19050"/>
          <a:ext cx="1257300" cy="457200"/>
        </a:xfrm>
        <a:prstGeom prst="rect">
          <a:avLst/>
        </a:prstGeom>
        <a:noFill/>
        <a:ln w="9525">
          <a:noFill/>
          <a:miter lim="800000"/>
          <a:headEnd/>
          <a:tailEnd/>
        </a:ln>
      </xdr:spPr>
    </xdr:pic>
    <xdr:clientData/>
  </xdr:twoCellAnchor>
  <xdr:twoCellAnchor editAs="oneCell">
    <xdr:from>
      <xdr:col>8</xdr:col>
      <xdr:colOff>28575</xdr:colOff>
      <xdr:row>10</xdr:row>
      <xdr:rowOff>9525</xdr:rowOff>
    </xdr:from>
    <xdr:to>
      <xdr:col>19</xdr:col>
      <xdr:colOff>581025</xdr:colOff>
      <xdr:row>50</xdr:row>
      <xdr:rowOff>0</xdr:rowOff>
    </xdr:to>
    <xdr:sp macro="" textlink="">
      <xdr:nvSpPr>
        <xdr:cNvPr id="5147" name="Text Box 27"/>
        <xdr:cNvSpPr txBox="1">
          <a:spLocks noChangeArrowheads="1"/>
        </xdr:cNvSpPr>
      </xdr:nvSpPr>
      <xdr:spPr bwMode="auto">
        <a:xfrm>
          <a:off x="6410325" y="1895475"/>
          <a:ext cx="3600450" cy="10277475"/>
        </a:xfrm>
        <a:prstGeom prst="rect">
          <a:avLst/>
        </a:prstGeom>
        <a:solidFill>
          <a:srgbClr val="CCFFCC"/>
        </a:solidFill>
        <a:ln w="9525">
          <a:noFill/>
          <a:miter lim="800000"/>
          <a:headEnd/>
          <a:tailEnd/>
        </a:ln>
        <a:effectLst/>
      </xdr:spPr>
      <xdr:txBody>
        <a:bodyPr vertOverflow="clip" wrap="square" lIns="36000" tIns="36000" rIns="36000" bIns="36000" anchor="t" upright="1"/>
        <a:lstStyle/>
        <a:p>
          <a:pPr algn="l" rtl="1">
            <a:defRPr sz="1000"/>
          </a:pPr>
          <a:r>
            <a:rPr lang="vi-VN" sz="1100" b="1" i="0" strike="noStrike">
              <a:solidFill>
                <a:srgbClr val="000000"/>
              </a:solidFill>
              <a:latin typeface="Verdana"/>
            </a:rPr>
            <a:t>ŽDRIJEB GLAVNOG TURNIRA</a:t>
          </a:r>
          <a:endParaRPr lang="vi-VN" sz="1000" b="0" i="0" strike="noStrike">
            <a:solidFill>
              <a:srgbClr val="000000"/>
            </a:solidFill>
            <a:latin typeface="Verdana"/>
          </a:endParaRPr>
        </a:p>
        <a:p>
          <a:pPr algn="l" rtl="1">
            <a:defRPr sz="1000"/>
          </a:pPr>
          <a:endParaRPr lang="vi-VN" sz="1000" b="0" i="0" strike="noStrike">
            <a:solidFill>
              <a:srgbClr val="000000"/>
            </a:solidFill>
            <a:latin typeface="Verdana"/>
          </a:endParaRPr>
        </a:p>
        <a:p>
          <a:pPr algn="l" rtl="1">
            <a:defRPr sz="1000"/>
          </a:pPr>
          <a:r>
            <a:rPr lang="vi-VN" sz="1000" b="0" i="0" strike="noStrike">
              <a:solidFill>
                <a:srgbClr val="000000"/>
              </a:solidFill>
              <a:latin typeface="Verdana"/>
            </a:rPr>
            <a:t>12.1. Na početku ždrijeba određuju se nositelji skupina, prema važećim rang listama za dotičnu kategoriju.</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12.2. Kod seniorki i seniora na nositelje se prvo postavljaju igračice i igrači po posljednjoj WTA odnosno ATP rang listi, a zatim po važećoj HTS rang listi za seniorke i seniore.</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12.3. U omladinskim kategorijama za nositelje se prvo postavljaju igračice i igrači u međunarodnom razredu po važećoj HTS rang listi za dotićnu kategoriju.</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12.4. Međunarodni razred ....</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12.5. Igrači ostaju u međunarodnom razredu na HTS rang listi do izlaska nove rang liste HTS-a i u slučaju da na međunarodnim rang listama izgube mjesto koje im je osiguravalo međunarodni razred.</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12.6. Broj postavljenih nositelja u glavnom turniru ovisi o broju igrača u glavnom turniru:</a:t>
          </a:r>
        </a:p>
        <a:p>
          <a:pPr algn="l" rtl="1">
            <a:defRPr sz="1000"/>
          </a:pPr>
          <a:r>
            <a:rPr lang="vi-VN" sz="1000" b="0" i="0" strike="noStrike">
              <a:solidFill>
                <a:srgbClr val="000000"/>
              </a:solidFill>
              <a:latin typeface="Verdana"/>
            </a:rPr>
            <a:t>  </a:t>
          </a:r>
          <a:r>
            <a:rPr lang="vi-VN" sz="1000" b="1" i="0" strike="noStrike">
              <a:solidFill>
                <a:srgbClr val="000000"/>
              </a:solidFill>
              <a:latin typeface="Verdana"/>
            </a:rPr>
            <a:t>7 do 10 igrača   postavlja se 2 nositelja</a:t>
          </a:r>
        </a:p>
        <a:p>
          <a:pPr algn="l" rtl="1">
            <a:defRPr sz="1000"/>
          </a:pPr>
          <a:r>
            <a:rPr lang="vi-VN" sz="1000" b="1" i="0" strike="noStrike">
              <a:solidFill>
                <a:srgbClr val="000000"/>
              </a:solidFill>
              <a:latin typeface="Verdana"/>
            </a:rPr>
            <a:t>11 do 20 igrača   postavlja se 4 nositelja</a:t>
          </a:r>
        </a:p>
        <a:p>
          <a:pPr algn="l" rtl="1">
            <a:defRPr sz="1000"/>
          </a:pPr>
          <a:r>
            <a:rPr lang="vi-VN" sz="1000" b="1" i="0" strike="noStrike">
              <a:solidFill>
                <a:srgbClr val="000000"/>
              </a:solidFill>
              <a:latin typeface="Verdana"/>
            </a:rPr>
            <a:t>21 do 40 igrača   postavlja se 8 nositelja</a:t>
          </a:r>
        </a:p>
        <a:p>
          <a:pPr algn="l" rtl="1">
            <a:defRPr sz="1000"/>
          </a:pPr>
          <a:r>
            <a:rPr lang="vi-VN" sz="1000" b="1" i="0" strike="noStrike">
              <a:solidFill>
                <a:srgbClr val="000000"/>
              </a:solidFill>
              <a:latin typeface="Verdana"/>
            </a:rPr>
            <a:t>41 i više  igrača   postavlja se 16 nositelja</a:t>
          </a:r>
          <a:endParaRPr lang="vi-VN" sz="1000" b="0" i="0" strike="noStrike">
            <a:solidFill>
              <a:srgbClr val="000000"/>
            </a:solidFill>
            <a:latin typeface="Verdana"/>
          </a:endParaRP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12.7. Neovisno o broju igrača u glavnom turniru, nositelji 1 &amp; 2 postavljaju se:</a:t>
          </a:r>
        </a:p>
        <a:p>
          <a:pPr algn="l" rtl="1">
            <a:defRPr sz="1000"/>
          </a:pPr>
          <a:r>
            <a:rPr lang="vi-VN" sz="1000" b="0" i="0" strike="noStrike">
              <a:solidFill>
                <a:srgbClr val="000000"/>
              </a:solidFill>
              <a:latin typeface="Verdana"/>
            </a:rPr>
            <a:t>   nositelj 1 na prvu crtu kostura</a:t>
          </a:r>
        </a:p>
        <a:p>
          <a:pPr algn="l" rtl="1">
            <a:defRPr sz="1000"/>
          </a:pPr>
          <a:r>
            <a:rPr lang="vi-VN" sz="1000" b="0" i="0" strike="noStrike">
              <a:solidFill>
                <a:srgbClr val="000000"/>
              </a:solidFill>
              <a:latin typeface="Verdana"/>
            </a:rPr>
            <a:t>   nositelj 2 na zadnju (donju) crtu kostura</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12.8. Ždrijeb ostalih nositelja.... (uz svaki kostur)</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12.9. U slučaju da je broj igrača manji od broja raspoloživih mjesta u kosturu, slobodna mjesta (BYE-evi) se upisuju na mjesta predviđena za susrete s nositeljima, redom od prvog nositelja prema nižim. </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12.10. U slučaju da je broj BYE-eva u kosturu veći od broja nositelja, preostali BYE-evi se ždrijebaju ravnomjerno u obje polovice kostura</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12.11. U slučaju da je broj prijavljenih igrača veći od veličine kostura, a premali da se igraju kvalifikacije, igraju se pretkola. U tom slučaju mjesta za susrete predkola u kosturu treba ždrijebom ravnomjerno i simetrično rasporediti na dijelove kostura, osim na mjesta nositelja</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12.12. Nakon nositelja ždrijebaju se ostali igrači s liste za glavni turnir, te redom upisuju na slobodna mjesta, uključujuči i pretkola ako ih ima, od vrha prema dnu</a:t>
          </a:r>
        </a:p>
        <a:p>
          <a:pPr algn="l" rtl="1">
            <a:defRPr sz="1000"/>
          </a:pPr>
          <a:endParaRPr lang="vi-VN" sz="1000" b="0" i="0" strike="noStrike">
            <a:solidFill>
              <a:srgbClr val="000000"/>
            </a:solidFill>
            <a:latin typeface="Verdana"/>
          </a:endParaRPr>
        </a:p>
      </xdr:txBody>
    </xdr:sp>
    <xdr:clientData fPrintsWithSheet="0"/>
  </xdr:twoCellAnchor>
  <mc:AlternateContent xmlns:mc="http://schemas.openxmlformats.org/markup-compatibility/2006">
    <mc:Choice xmlns:a14="http://schemas.microsoft.com/office/drawing/2010/main" Requires="a14">
      <xdr:twoCellAnchor editAs="absolute">
        <xdr:from>
          <xdr:col>7</xdr:col>
          <xdr:colOff>361950</xdr:colOff>
          <xdr:row>0</xdr:row>
          <xdr:rowOff>0</xdr:rowOff>
        </xdr:from>
        <xdr:to>
          <xdr:col>8</xdr:col>
          <xdr:colOff>0</xdr:colOff>
          <xdr:row>3</xdr:row>
          <xdr:rowOff>19050</xdr:rowOff>
        </xdr:to>
        <xdr:grpSp>
          <xdr:nvGrpSpPr>
            <xdr:cNvPr id="5465" name="Group 15"/>
            <xdr:cNvGrpSpPr>
              <a:grpSpLocks/>
            </xdr:cNvGrpSpPr>
          </xdr:nvGrpSpPr>
          <xdr:grpSpPr bwMode="auto">
            <a:xfrm>
              <a:off x="5362575" y="0"/>
              <a:ext cx="1019175" cy="666750"/>
              <a:chOff x="563" y="0"/>
              <a:chExt cx="107" cy="70"/>
            </a:xfrm>
          </xdr:grpSpPr>
          <xdr:sp macro="" textlink="">
            <xdr:nvSpPr>
              <xdr:cNvPr id="5129" name="Si_Sort_Prezime" hidden="1">
                <a:extLst>
                  <a:ext uri="{63B3BB69-23CF-44E3-9099-C40C66FF867C}">
                    <a14:compatExt spid="_x0000_s5129"/>
                  </a:ext>
                </a:extLst>
              </xdr:cNvPr>
              <xdr:cNvSpPr/>
            </xdr:nvSpPr>
            <xdr:spPr>
              <a:xfrm>
                <a:off x="563" y="15"/>
                <a:ext cx="107" cy="21"/>
              </a:xfrm>
              <a:prstGeom prst="rect">
                <a:avLst/>
              </a:prstGeom>
            </xdr:spPr>
          </xdr:sp>
          <xdr:sp macro="" textlink="">
            <xdr:nvSpPr>
              <xdr:cNvPr id="5130" name="Si_Sort_Klub" hidden="1">
                <a:extLst>
                  <a:ext uri="{63B3BB69-23CF-44E3-9099-C40C66FF867C}">
                    <a14:compatExt spid="_x0000_s5130"/>
                  </a:ext>
                </a:extLst>
              </xdr:cNvPr>
              <xdr:cNvSpPr/>
            </xdr:nvSpPr>
            <xdr:spPr>
              <a:xfrm>
                <a:off x="563" y="32"/>
                <a:ext cx="107" cy="21"/>
              </a:xfrm>
              <a:prstGeom prst="rect">
                <a:avLst/>
              </a:prstGeom>
            </xdr:spPr>
          </xdr:sp>
          <xdr:sp macro="" textlink="">
            <xdr:nvSpPr>
              <xdr:cNvPr id="5131" name="Si_Sort_RangLista" hidden="1">
                <a:extLst>
                  <a:ext uri="{63B3BB69-23CF-44E3-9099-C40C66FF867C}">
                    <a14:compatExt spid="_x0000_s5131"/>
                  </a:ext>
                </a:extLst>
              </xdr:cNvPr>
              <xdr:cNvSpPr/>
            </xdr:nvSpPr>
            <xdr:spPr>
              <a:xfrm>
                <a:off x="563" y="49"/>
                <a:ext cx="107" cy="21"/>
              </a:xfrm>
              <a:prstGeom prst="rect">
                <a:avLst/>
              </a:prstGeom>
            </xdr:spPr>
          </xdr:sp>
          <xdr:sp macro="" textlink="">
            <xdr:nvSpPr>
              <xdr:cNvPr id="5132" name="Label1" hidden="1">
                <a:extLst>
                  <a:ext uri="{63B3BB69-23CF-44E3-9099-C40C66FF867C}">
                    <a14:compatExt spid="_x0000_s5132"/>
                  </a:ext>
                </a:extLst>
              </xdr:cNvPr>
              <xdr:cNvSpPr/>
            </xdr:nvSpPr>
            <xdr:spPr>
              <a:xfrm>
                <a:off x="563" y="0"/>
                <a:ext cx="107" cy="16"/>
              </a:xfrm>
              <a:prstGeom prst="rect">
                <a:avLst/>
              </a:prstGeom>
            </xdr:spPr>
          </xdr:sp>
        </xdr:grp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17</xdr:col>
      <xdr:colOff>104775</xdr:colOff>
      <xdr:row>0</xdr:row>
      <xdr:rowOff>19050</xdr:rowOff>
    </xdr:from>
    <xdr:to>
      <xdr:col>17</xdr:col>
      <xdr:colOff>1362075</xdr:colOff>
      <xdr:row>2</xdr:row>
      <xdr:rowOff>9525</xdr:rowOff>
    </xdr:to>
    <xdr:pic>
      <xdr:nvPicPr>
        <xdr:cNvPr id="44138" name="Picture 32" descr="HTS-logo-Kosturi"/>
        <xdr:cNvPicPr>
          <a:picLocks noChangeAspect="1" noChangeArrowheads="1"/>
        </xdr:cNvPicPr>
      </xdr:nvPicPr>
      <xdr:blipFill>
        <a:blip xmlns:r="http://schemas.openxmlformats.org/officeDocument/2006/relationships" r:embed="rId1" cstate="print"/>
        <a:srcRect/>
        <a:stretch>
          <a:fillRect/>
        </a:stretch>
      </xdr:blipFill>
      <xdr:spPr bwMode="auto">
        <a:xfrm>
          <a:off x="7648575" y="19050"/>
          <a:ext cx="1257300" cy="4572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absolute">
        <xdr:from>
          <xdr:col>15</xdr:col>
          <xdr:colOff>0</xdr:colOff>
          <xdr:row>0</xdr:row>
          <xdr:rowOff>0</xdr:rowOff>
        </xdr:from>
        <xdr:to>
          <xdr:col>15</xdr:col>
          <xdr:colOff>647700</xdr:colOff>
          <xdr:row>0</xdr:row>
          <xdr:rowOff>266700</xdr:rowOff>
        </xdr:to>
        <xdr:sp macro="" textlink="">
          <xdr:nvSpPr>
            <xdr:cNvPr id="44033" name="Button 1" hidden="1">
              <a:extLst>
                <a:ext uri="{63B3BB69-23CF-44E3-9099-C40C66FF867C}">
                  <a14:compatExt spid="_x0000_s440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hr-HR" sz="800" b="1" i="1" u="none" strike="noStrike" baseline="0">
                  <a:solidFill>
                    <a:srgbClr val="FF0000"/>
                  </a:solidFill>
                  <a:latin typeface="Arial"/>
                  <a:cs typeface="Arial"/>
                </a:rPr>
                <a:t>SA </a:t>
              </a:r>
              <a:r>
                <a:rPr lang="hr-HR" sz="800" b="0" i="1" u="none" strike="noStrike" baseline="0">
                  <a:solidFill>
                    <a:srgbClr val="FF0000"/>
                  </a:solidFill>
                  <a:latin typeface="Arial"/>
                  <a:cs typeface="Arial"/>
                </a:rPr>
                <a:t>sucima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666750</xdr:colOff>
          <xdr:row>0</xdr:row>
          <xdr:rowOff>0</xdr:rowOff>
        </xdr:from>
        <xdr:to>
          <xdr:col>16</xdr:col>
          <xdr:colOff>0</xdr:colOff>
          <xdr:row>0</xdr:row>
          <xdr:rowOff>266700</xdr:rowOff>
        </xdr:to>
        <xdr:sp macro="" textlink="">
          <xdr:nvSpPr>
            <xdr:cNvPr id="44034" name="Button 2" hidden="1">
              <a:extLst>
                <a:ext uri="{63B3BB69-23CF-44E3-9099-C40C66FF867C}">
                  <a14:compatExt spid="_x0000_s4403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hr-HR" sz="800" b="1" i="1" u="none" strike="noStrike" baseline="0">
                  <a:solidFill>
                    <a:srgbClr val="FF0000"/>
                  </a:solidFill>
                  <a:latin typeface="Arial"/>
                  <a:cs typeface="Arial"/>
                </a:rPr>
                <a:t>BEZ </a:t>
              </a:r>
              <a:r>
                <a:rPr lang="hr-HR" sz="800" b="0" i="1" u="none" strike="noStrike" baseline="0">
                  <a:solidFill>
                    <a:srgbClr val="FF0000"/>
                  </a:solidFill>
                  <a:latin typeface="Arial"/>
                  <a:cs typeface="Arial"/>
                </a:rPr>
                <a:t>sudaca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7</xdr:col>
      <xdr:colOff>104775</xdr:colOff>
      <xdr:row>0</xdr:row>
      <xdr:rowOff>19050</xdr:rowOff>
    </xdr:from>
    <xdr:to>
      <xdr:col>7</xdr:col>
      <xdr:colOff>1362075</xdr:colOff>
      <xdr:row>2</xdr:row>
      <xdr:rowOff>0</xdr:rowOff>
    </xdr:to>
    <xdr:pic>
      <xdr:nvPicPr>
        <xdr:cNvPr id="13635" name="Picture 27" descr="HTS-logo-Kosturi"/>
        <xdr:cNvPicPr>
          <a:picLocks noChangeAspect="1" noChangeArrowheads="1"/>
        </xdr:cNvPicPr>
      </xdr:nvPicPr>
      <xdr:blipFill>
        <a:blip xmlns:r="http://schemas.openxmlformats.org/officeDocument/2006/relationships" r:embed="rId1" cstate="print"/>
        <a:srcRect/>
        <a:stretch>
          <a:fillRect/>
        </a:stretch>
      </xdr:blipFill>
      <xdr:spPr bwMode="auto">
        <a:xfrm>
          <a:off x="5105400" y="19050"/>
          <a:ext cx="1257300" cy="457200"/>
        </a:xfrm>
        <a:prstGeom prst="rect">
          <a:avLst/>
        </a:prstGeom>
        <a:noFill/>
        <a:ln w="9525">
          <a:noFill/>
          <a:miter lim="800000"/>
          <a:headEnd/>
          <a:tailEnd/>
        </a:ln>
      </xdr:spPr>
    </xdr:pic>
    <xdr:clientData/>
  </xdr:twoCellAnchor>
  <xdr:twoCellAnchor editAs="oneCell">
    <xdr:from>
      <xdr:col>8</xdr:col>
      <xdr:colOff>28575</xdr:colOff>
      <xdr:row>10</xdr:row>
      <xdr:rowOff>9525</xdr:rowOff>
    </xdr:from>
    <xdr:to>
      <xdr:col>19</xdr:col>
      <xdr:colOff>581025</xdr:colOff>
      <xdr:row>42</xdr:row>
      <xdr:rowOff>0</xdr:rowOff>
    </xdr:to>
    <xdr:sp macro="" textlink="">
      <xdr:nvSpPr>
        <xdr:cNvPr id="13325" name="Text Box 13"/>
        <xdr:cNvSpPr txBox="1">
          <a:spLocks noChangeArrowheads="1"/>
        </xdr:cNvSpPr>
      </xdr:nvSpPr>
      <xdr:spPr bwMode="auto">
        <a:xfrm>
          <a:off x="6410325" y="1895475"/>
          <a:ext cx="3600450" cy="8220075"/>
        </a:xfrm>
        <a:prstGeom prst="rect">
          <a:avLst/>
        </a:prstGeom>
        <a:solidFill>
          <a:srgbClr val="CCFFCC"/>
        </a:solidFill>
        <a:ln w="9525">
          <a:noFill/>
          <a:miter lim="800000"/>
          <a:headEnd/>
          <a:tailEnd/>
        </a:ln>
        <a:effectLst/>
      </xdr:spPr>
      <xdr:txBody>
        <a:bodyPr vertOverflow="clip" wrap="square" lIns="36000" tIns="36000" rIns="36000" bIns="36000" anchor="t" upright="1"/>
        <a:lstStyle/>
        <a:p>
          <a:pPr algn="l" rtl="1">
            <a:defRPr sz="1000"/>
          </a:pPr>
          <a:r>
            <a:rPr lang="vi-VN" sz="1100" b="1" i="0" strike="noStrike">
              <a:solidFill>
                <a:srgbClr val="000000"/>
              </a:solidFill>
              <a:latin typeface="Verdana"/>
            </a:rPr>
            <a:t>ŽDRIJEB KVALIFIKACIJA</a:t>
          </a:r>
          <a:endParaRPr lang="vi-VN" sz="1000" b="0" i="0" strike="noStrike">
            <a:solidFill>
              <a:srgbClr val="000000"/>
            </a:solidFill>
            <a:latin typeface="Verdana"/>
          </a:endParaRPr>
        </a:p>
        <a:p>
          <a:pPr algn="l" rtl="1">
            <a:defRPr sz="1000"/>
          </a:pPr>
          <a:endParaRPr lang="vi-VN" sz="1000" b="0" i="0" strike="noStrike">
            <a:solidFill>
              <a:srgbClr val="000000"/>
            </a:solidFill>
            <a:latin typeface="Verdana"/>
          </a:endParaRPr>
        </a:p>
        <a:p>
          <a:pPr algn="l" rtl="1">
            <a:defRPr sz="1000"/>
          </a:pPr>
          <a:r>
            <a:rPr lang="vi-VN" sz="1000" b="0" i="0" strike="noStrike">
              <a:solidFill>
                <a:srgbClr val="000000"/>
              </a:solidFill>
              <a:latin typeface="Verdana"/>
            </a:rPr>
            <a:t>13.1. Kostur za kvalifikacije sastoji se od onoliko broja kvalifikacijskih skupina koliko igrača iz kvalifikacija ulazi u glavni turnir.</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13.2. </a:t>
          </a:r>
          <a:r>
            <a:rPr lang="vi-VN" sz="1000" b="1" i="0" strike="noStrike">
              <a:solidFill>
                <a:srgbClr val="000000"/>
              </a:solidFill>
              <a:latin typeface="Verdana"/>
            </a:rPr>
            <a:t>U svaku se skupinu postavljaju po 2 nositelja</a:t>
          </a:r>
          <a:r>
            <a:rPr lang="vi-VN" sz="1000" b="0" i="0" strike="noStrike">
              <a:solidFill>
                <a:srgbClr val="000000"/>
              </a:solidFill>
              <a:latin typeface="Verdana"/>
            </a:rPr>
            <a:t>. Prvi nositelj u skupini se postavlja na gornju crtu u kosturu skupine, a drugi na donju crtu.</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13.3. </a:t>
          </a:r>
          <a:r>
            <a:rPr lang="vi-VN" sz="1000" b="1" i="0" strike="noStrike">
              <a:solidFill>
                <a:srgbClr val="000000"/>
              </a:solidFill>
              <a:latin typeface="Verdana"/>
            </a:rPr>
            <a:t>Nositelji</a:t>
          </a:r>
          <a:r>
            <a:rPr lang="vi-VN" sz="1000" b="0" i="0" strike="noStrike">
              <a:solidFill>
                <a:srgbClr val="000000"/>
              </a:solidFill>
              <a:latin typeface="Verdana"/>
            </a:rPr>
            <a:t> se, s obzirom na rang listu, postavljaju redom od prve do posljednje skupine za prve nositelje u skupinama, a zatim se svi preostali nositelji ždrijebaju za druge nositelje</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13.4. </a:t>
          </a:r>
          <a:r>
            <a:rPr lang="vi-VN" sz="1000" b="1" i="0" strike="noStrike">
              <a:solidFill>
                <a:srgbClr val="000000"/>
              </a:solidFill>
              <a:latin typeface="Verdana"/>
            </a:rPr>
            <a:t>Svi preostali igrači</a:t>
          </a:r>
          <a:r>
            <a:rPr lang="vi-VN" sz="1000" b="0" i="0" strike="noStrike">
              <a:solidFill>
                <a:srgbClr val="000000"/>
              </a:solidFill>
              <a:latin typeface="Verdana"/>
            </a:rPr>
            <a:t> ždrijebaju se redom na slobodna mjesta od prve do posljednje skupine</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13.5. U slučaju da je broj igrača u Q manji od broja raspoliživih mjesta u kosturu, </a:t>
          </a:r>
          <a:r>
            <a:rPr lang="vi-VN" sz="1000" b="1" i="0" strike="noStrike">
              <a:solidFill>
                <a:srgbClr val="000000"/>
              </a:solidFill>
              <a:latin typeface="Verdana"/>
            </a:rPr>
            <a:t>BYE se upisuje na mjesta predviđena za susrete s nositeljima</a:t>
          </a:r>
          <a:r>
            <a:rPr lang="vi-VN" sz="1000" b="0" i="0" strike="noStrike">
              <a:solidFill>
                <a:srgbClr val="000000"/>
              </a:solidFill>
              <a:latin typeface="Verdana"/>
            </a:rPr>
            <a:t>, redom od prvog nositelja prve, do prvog nositelja zadnje skupine, a zatim od najbolje rangiranog drugog nositelja do najslabije rangiranog drugog nositelja.</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13.6 U slučaju da je </a:t>
          </a:r>
          <a:r>
            <a:rPr lang="vi-VN" sz="1000" b="1" i="0" strike="noStrike">
              <a:solidFill>
                <a:srgbClr val="000000"/>
              </a:solidFill>
              <a:latin typeface="Verdana"/>
            </a:rPr>
            <a:t>broj BYE-eva u kosturu Q veći od broja nositelja</a:t>
          </a:r>
          <a:r>
            <a:rPr lang="vi-VN" sz="1000" b="0" i="0" strike="noStrike">
              <a:solidFill>
                <a:srgbClr val="000000"/>
              </a:solidFill>
              <a:latin typeface="Verdana"/>
            </a:rPr>
            <a:t>, preostali BYE-evi se ždrijebaju ravnomjerno u sve skupine.</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13.7. U slučaju da je</a:t>
          </a:r>
          <a:r>
            <a:rPr lang="vi-VN" sz="1000" b="1" i="0" strike="noStrike">
              <a:solidFill>
                <a:srgbClr val="000000"/>
              </a:solidFill>
              <a:latin typeface="Verdana"/>
            </a:rPr>
            <a:t> broj rangiranih igrača manji od predviđenog broja nositelja</a:t>
          </a:r>
          <a:r>
            <a:rPr lang="vi-VN" sz="1000" b="0" i="0" strike="noStrike">
              <a:solidFill>
                <a:srgbClr val="000000"/>
              </a:solidFill>
              <a:latin typeface="Verdana"/>
            </a:rPr>
            <a:t>, za nositelje se postavljaju samo rangirani igrači, a određeni broj skupina, počevši od prve, bit će samo s jednim nositeljem, ili će određeni broj skupina, počevši od posljednje, biti bez nositelja</a:t>
          </a:r>
        </a:p>
      </xdr:txBody>
    </xdr:sp>
    <xdr:clientData fPrintsWithSheet="0"/>
  </xdr:twoCellAnchor>
  <mc:AlternateContent xmlns:mc="http://schemas.openxmlformats.org/markup-compatibility/2006">
    <mc:Choice xmlns:a14="http://schemas.microsoft.com/office/drawing/2010/main" Requires="a14">
      <xdr:twoCellAnchor editAs="absolute">
        <xdr:from>
          <xdr:col>7</xdr:col>
          <xdr:colOff>361950</xdr:colOff>
          <xdr:row>0</xdr:row>
          <xdr:rowOff>0</xdr:rowOff>
        </xdr:from>
        <xdr:to>
          <xdr:col>8</xdr:col>
          <xdr:colOff>0</xdr:colOff>
          <xdr:row>3</xdr:row>
          <xdr:rowOff>28575</xdr:rowOff>
        </xdr:to>
        <xdr:grpSp>
          <xdr:nvGrpSpPr>
            <xdr:cNvPr id="13637" name="Group 2"/>
            <xdr:cNvGrpSpPr>
              <a:grpSpLocks/>
            </xdr:cNvGrpSpPr>
          </xdr:nvGrpSpPr>
          <xdr:grpSpPr bwMode="auto">
            <a:xfrm>
              <a:off x="5362575" y="0"/>
              <a:ext cx="1019175" cy="676275"/>
              <a:chOff x="563" y="0"/>
              <a:chExt cx="107" cy="70"/>
            </a:xfrm>
          </xdr:grpSpPr>
          <xdr:sp macro="" textlink="">
            <xdr:nvSpPr>
              <xdr:cNvPr id="13315" name="Si_Sort_Prezime" hidden="1">
                <a:extLst>
                  <a:ext uri="{63B3BB69-23CF-44E3-9099-C40C66FF867C}">
                    <a14:compatExt spid="_x0000_s13315"/>
                  </a:ext>
                </a:extLst>
              </xdr:cNvPr>
              <xdr:cNvSpPr/>
            </xdr:nvSpPr>
            <xdr:spPr>
              <a:xfrm>
                <a:off x="563" y="15"/>
                <a:ext cx="107" cy="21"/>
              </a:xfrm>
              <a:prstGeom prst="rect">
                <a:avLst/>
              </a:prstGeom>
            </xdr:spPr>
          </xdr:sp>
          <xdr:sp macro="" textlink="">
            <xdr:nvSpPr>
              <xdr:cNvPr id="13316" name="Si_Sort_Klub" hidden="1">
                <a:extLst>
                  <a:ext uri="{63B3BB69-23CF-44E3-9099-C40C66FF867C}">
                    <a14:compatExt spid="_x0000_s13316"/>
                  </a:ext>
                </a:extLst>
              </xdr:cNvPr>
              <xdr:cNvSpPr/>
            </xdr:nvSpPr>
            <xdr:spPr>
              <a:xfrm>
                <a:off x="563" y="31"/>
                <a:ext cx="107" cy="20"/>
              </a:xfrm>
              <a:prstGeom prst="rect">
                <a:avLst/>
              </a:prstGeom>
            </xdr:spPr>
          </xdr:sp>
          <xdr:sp macro="" textlink="">
            <xdr:nvSpPr>
              <xdr:cNvPr id="13317" name="Si_Sort_RangLista" hidden="1">
                <a:extLst>
                  <a:ext uri="{63B3BB69-23CF-44E3-9099-C40C66FF867C}">
                    <a14:compatExt spid="_x0000_s13317"/>
                  </a:ext>
                </a:extLst>
              </xdr:cNvPr>
              <xdr:cNvSpPr/>
            </xdr:nvSpPr>
            <xdr:spPr>
              <a:xfrm>
                <a:off x="563" y="49"/>
                <a:ext cx="107" cy="21"/>
              </a:xfrm>
              <a:prstGeom prst="rect">
                <a:avLst/>
              </a:prstGeom>
            </xdr:spPr>
          </xdr:sp>
          <xdr:sp macro="" textlink="">
            <xdr:nvSpPr>
              <xdr:cNvPr id="13318" name="Label1" hidden="1">
                <a:extLst>
                  <a:ext uri="{63B3BB69-23CF-44E3-9099-C40C66FF867C}">
                    <a14:compatExt spid="_x0000_s13318"/>
                  </a:ext>
                </a:extLst>
              </xdr:cNvPr>
              <xdr:cNvSpPr/>
            </xdr:nvSpPr>
            <xdr:spPr>
              <a:xfrm>
                <a:off x="563" y="0"/>
                <a:ext cx="107" cy="16"/>
              </a:xfrm>
              <a:prstGeom prst="rect">
                <a:avLst/>
              </a:prstGeom>
            </xdr:spPr>
          </xdr:sp>
        </xdr:grp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18</xdr:col>
      <xdr:colOff>19050</xdr:colOff>
      <xdr:row>6</xdr:row>
      <xdr:rowOff>9525</xdr:rowOff>
    </xdr:from>
    <xdr:to>
      <xdr:col>25</xdr:col>
      <xdr:colOff>571500</xdr:colOff>
      <xdr:row>62</xdr:row>
      <xdr:rowOff>19050</xdr:rowOff>
    </xdr:to>
    <xdr:sp macro="" textlink="">
      <xdr:nvSpPr>
        <xdr:cNvPr id="17441" name="Text Box 33"/>
        <xdr:cNvSpPr txBox="1">
          <a:spLocks noChangeArrowheads="1"/>
        </xdr:cNvSpPr>
      </xdr:nvSpPr>
      <xdr:spPr bwMode="auto">
        <a:xfrm>
          <a:off x="8934450" y="1323975"/>
          <a:ext cx="3600450" cy="12420600"/>
        </a:xfrm>
        <a:prstGeom prst="rect">
          <a:avLst/>
        </a:prstGeom>
        <a:solidFill>
          <a:srgbClr val="CCFFCC"/>
        </a:solidFill>
        <a:ln w="9525">
          <a:noFill/>
          <a:miter lim="800000"/>
          <a:headEnd/>
          <a:tailEnd/>
        </a:ln>
        <a:effectLst/>
      </xdr:spPr>
      <xdr:txBody>
        <a:bodyPr vertOverflow="clip" wrap="square" lIns="36000" tIns="36000" rIns="36000" bIns="36000" anchor="t" upright="1"/>
        <a:lstStyle/>
        <a:p>
          <a:pPr algn="l" rtl="1">
            <a:defRPr sz="1000"/>
          </a:pPr>
          <a:r>
            <a:rPr lang="vi-VN" sz="1100" b="1" i="0" strike="noStrike">
              <a:solidFill>
                <a:srgbClr val="000000"/>
              </a:solidFill>
              <a:latin typeface="Verdana"/>
            </a:rPr>
            <a:t>ROUND ROBIN KVALIFIKACIJE</a:t>
          </a:r>
          <a:endParaRPr lang="vi-VN" sz="1000" b="0" i="0" strike="noStrike">
            <a:solidFill>
              <a:srgbClr val="000000"/>
            </a:solidFill>
            <a:latin typeface="Verdana"/>
          </a:endParaRPr>
        </a:p>
        <a:p>
          <a:pPr algn="l" rtl="1">
            <a:defRPr sz="1000"/>
          </a:pPr>
          <a:endParaRPr lang="vi-VN" sz="1000" b="0" i="0" strike="noStrike">
            <a:solidFill>
              <a:srgbClr val="000000"/>
            </a:solidFill>
            <a:latin typeface="Verdana"/>
          </a:endParaRPr>
        </a:p>
        <a:p>
          <a:pPr algn="l" rtl="1">
            <a:defRPr sz="1000"/>
          </a:pPr>
          <a:r>
            <a:rPr lang="vi-VN" sz="1000" b="0" i="0" strike="noStrike">
              <a:solidFill>
                <a:srgbClr val="000000"/>
              </a:solidFill>
              <a:latin typeface="Verdana"/>
            </a:rPr>
            <a:t>14.1. Round robin kvalifikacije igraju se </a:t>
          </a:r>
          <a:r>
            <a:rPr lang="vi-VN" sz="1000" b="1" i="0" strike="noStrike">
              <a:solidFill>
                <a:srgbClr val="000000"/>
              </a:solidFill>
              <a:latin typeface="Verdana"/>
            </a:rPr>
            <a:t>po skupinama od četri igrača</a:t>
          </a:r>
          <a:r>
            <a:rPr lang="vi-VN" sz="1000" b="0" i="0" strike="noStrike">
              <a:solidFill>
                <a:srgbClr val="000000"/>
              </a:solidFill>
              <a:latin typeface="Verdana"/>
            </a:rPr>
            <a:t> sustavom svaki sa svakim.</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14.2. Organizatori su obavezni odabrati i točno navesti u propizicijama jednu od 2 mogućnosti:</a:t>
          </a:r>
        </a:p>
        <a:p>
          <a:pPr algn="l" rtl="1">
            <a:defRPr sz="1000"/>
          </a:pPr>
          <a:r>
            <a:rPr lang="vi-VN" sz="1000" b="0" i="0" strike="noStrike">
              <a:solidFill>
                <a:srgbClr val="000000"/>
              </a:solidFill>
              <a:latin typeface="Verdana"/>
            </a:rPr>
            <a:t>  - da svi prijavljeni igrači igraju Round Robin Quali</a:t>
          </a:r>
        </a:p>
        <a:p>
          <a:pPr algn="l" rtl="1">
            <a:defRPr sz="1000"/>
          </a:pPr>
          <a:r>
            <a:rPr lang="vi-VN" sz="1000" b="0" i="0" strike="noStrike">
              <a:solidFill>
                <a:srgbClr val="000000"/>
              </a:solidFill>
              <a:latin typeface="Verdana"/>
            </a:rPr>
            <a:t>  - da određeni broj igrača ulazi izravno u glavni turnir, a ostali igraju Round Robin Quali.</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14.3. Organizator treba navesti u propozicijama koliko igrača po skupinama ulazi u glavni turnir.</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14.4. Broj skupina određen je ukupnim brojem igrača u kvalifikacijama. Ako broj igrača nije djeljiv s 4, određen broj skupina, počevši od prve i najviše do treće, imat će 3 igrača.</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14.5. </a:t>
          </a:r>
          <a:r>
            <a:rPr lang="vi-VN" sz="1000" b="1" i="0" strike="noStrike">
              <a:solidFill>
                <a:srgbClr val="000000"/>
              </a:solidFill>
              <a:latin typeface="Verdana"/>
            </a:rPr>
            <a:t>U svakoj skupini postavljaju se po 2 nositelja</a:t>
          </a:r>
          <a:r>
            <a:rPr lang="vi-VN" sz="1000" b="0" i="0" strike="noStrike">
              <a:solidFill>
                <a:srgbClr val="000000"/>
              </a:solidFill>
              <a:latin typeface="Verdana"/>
            </a:rPr>
            <a:t>. Prvi nositelj u skupini postavlja se na poziciju broj 1, redom od prve do posljednje skupine, a drugi nositelji ždrijebaju se na poziciju broj 4 u svim skupinama. Slobodna mjesta (bye), postavljaju se na poziciju 2 u skupinama s 3 igrača. Ostali igrači ždrijebaju se redom po skupinama na pozicije 2 i 3</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14.6. U slučaju da je </a:t>
          </a:r>
          <a:r>
            <a:rPr lang="vi-VN" sz="1000" b="1" i="0" strike="noStrike">
              <a:solidFill>
                <a:srgbClr val="000000"/>
              </a:solidFill>
              <a:latin typeface="Verdana"/>
            </a:rPr>
            <a:t>broj rangiranih igrača manji od predviđenog broja nositelja</a:t>
          </a:r>
          <a:r>
            <a:rPr lang="vi-VN" sz="1000" b="0" i="0" strike="noStrike">
              <a:solidFill>
                <a:srgbClr val="000000"/>
              </a:solidFill>
              <a:latin typeface="Verdana"/>
            </a:rPr>
            <a:t>, za nositelje s postavljaju SAMO rangirani igrači, a određen broj skupina, počevši od 1., bit će samo s jednim nositeljem, ili će određeni broj skupina, počevši od posljednje, biti BEZ nositelja.</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14.7. </a:t>
          </a:r>
          <a:r>
            <a:rPr lang="vi-VN" sz="1000" b="1" i="0" strike="noStrike">
              <a:solidFill>
                <a:srgbClr val="000000"/>
              </a:solidFill>
              <a:latin typeface="Verdana"/>
            </a:rPr>
            <a:t>Raspored igranja </a:t>
          </a:r>
          <a:r>
            <a:rPr lang="vi-VN" sz="1000" b="0" i="0" strike="noStrike">
              <a:solidFill>
                <a:srgbClr val="000000"/>
              </a:solidFill>
              <a:latin typeface="Verdana"/>
            </a:rPr>
            <a:t>po kolima je takav da nositelji u skupinama svoj međusobi susret igraju u 3. kolu.</a:t>
          </a:r>
        </a:p>
        <a:p>
          <a:pPr algn="l" rtl="1">
            <a:defRPr sz="1000"/>
          </a:pPr>
          <a:r>
            <a:rPr lang="vi-VN" sz="1000" b="0" i="0" strike="noStrike">
              <a:solidFill>
                <a:srgbClr val="000000"/>
              </a:solidFill>
              <a:latin typeface="Verdana"/>
            </a:rPr>
            <a:t>Raspored igranja:</a:t>
          </a:r>
        </a:p>
        <a:p>
          <a:pPr algn="l" rtl="1">
            <a:defRPr sz="1000"/>
          </a:pPr>
          <a:r>
            <a:rPr lang="vi-VN" sz="1000" b="0" i="0" strike="noStrike">
              <a:solidFill>
                <a:srgbClr val="000000"/>
              </a:solidFill>
              <a:latin typeface="Verdana"/>
            </a:rPr>
            <a:t>  </a:t>
          </a:r>
          <a:r>
            <a:rPr lang="vi-VN" sz="1000" b="1" i="0" strike="noStrike">
              <a:solidFill>
                <a:srgbClr val="000000"/>
              </a:solidFill>
              <a:latin typeface="Verdana"/>
            </a:rPr>
            <a:t>- 1. Kolo   1-2 i 3-4</a:t>
          </a:r>
        </a:p>
        <a:p>
          <a:pPr algn="l" rtl="1">
            <a:defRPr sz="1000"/>
          </a:pPr>
          <a:r>
            <a:rPr lang="vi-VN" sz="1000" b="1" i="0" strike="noStrike">
              <a:solidFill>
                <a:srgbClr val="000000"/>
              </a:solidFill>
              <a:latin typeface="Verdana"/>
            </a:rPr>
            <a:t>  - 2. Kolo   </a:t>
          </a:r>
          <a:r>
            <a:rPr lang="hr-HR" sz="1000" b="1" i="0" strike="noStrike">
              <a:solidFill>
                <a:srgbClr val="000000"/>
              </a:solidFill>
              <a:latin typeface="Verdana"/>
            </a:rPr>
            <a:t>Pobjednici iz susreta 1.kola i </a:t>
          </a:r>
        </a:p>
        <a:p>
          <a:pPr algn="l" rtl="1">
            <a:defRPr sz="1000"/>
          </a:pPr>
          <a:r>
            <a:rPr lang="hr-HR" sz="1000" b="1" i="0" strike="noStrike">
              <a:solidFill>
                <a:srgbClr val="000000"/>
              </a:solidFill>
              <a:latin typeface="Verdana"/>
            </a:rPr>
            <a:t>                   poraženi iz susreta 1.kola</a:t>
          </a:r>
        </a:p>
        <a:p>
          <a:pPr algn="l" rtl="1">
            <a:defRPr sz="1000"/>
          </a:pPr>
          <a:r>
            <a:rPr lang="vi-VN" sz="1000" b="1" i="0" strike="noStrike">
              <a:solidFill>
                <a:srgbClr val="000000"/>
              </a:solidFill>
              <a:latin typeface="Verdana"/>
            </a:rPr>
            <a:t>  - 3. Kolo   </a:t>
          </a:r>
          <a:r>
            <a:rPr lang="hr-HR" sz="1000" b="1" i="0" strike="noStrike">
              <a:solidFill>
                <a:srgbClr val="000000"/>
              </a:solidFill>
              <a:latin typeface="Verdana"/>
            </a:rPr>
            <a:t>preostali</a:t>
          </a:r>
          <a:r>
            <a:rPr lang="hr-HR" sz="1000" b="1" i="0" strike="noStrike" baseline="0">
              <a:solidFill>
                <a:srgbClr val="000000"/>
              </a:solidFill>
              <a:latin typeface="Verdana"/>
            </a:rPr>
            <a:t> susreti</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14.8. </a:t>
          </a:r>
          <a:r>
            <a:rPr lang="vi-VN" sz="1000" b="1" i="0" strike="noStrike">
              <a:solidFill>
                <a:srgbClr val="000000"/>
              </a:solidFill>
              <a:latin typeface="Verdana"/>
            </a:rPr>
            <a:t>Plasman igrača</a:t>
          </a:r>
          <a:r>
            <a:rPr lang="vi-VN" sz="1000" b="0" i="0" strike="noStrike">
              <a:solidFill>
                <a:srgbClr val="000000"/>
              </a:solidFill>
              <a:latin typeface="Verdana"/>
            </a:rPr>
            <a:t> na kraju igranja po skupinama određuje se po broju pobjeda u skupini. Ako su 2 ili više igrača ostvarili isti broj pobjeda, njihov plasman određuje se po:</a:t>
          </a:r>
        </a:p>
        <a:p>
          <a:pPr algn="l" rtl="1">
            <a:defRPr sz="1000"/>
          </a:pPr>
          <a:r>
            <a:rPr lang="vi-VN" sz="1000" b="0" i="0" strike="noStrike">
              <a:solidFill>
                <a:srgbClr val="000000"/>
              </a:solidFill>
              <a:latin typeface="Verdana"/>
            </a:rPr>
            <a:t>  - većem broju pobjeda u međusobnim susretima</a:t>
          </a:r>
        </a:p>
        <a:p>
          <a:pPr algn="l" rtl="1">
            <a:defRPr sz="1000"/>
          </a:pPr>
          <a:r>
            <a:rPr lang="vi-VN" sz="1000" b="0" i="0" strike="noStrike">
              <a:solidFill>
                <a:srgbClr val="000000"/>
              </a:solidFill>
              <a:latin typeface="Verdana"/>
            </a:rPr>
            <a:t>  - većoj razlici dobivenih i izgubljenih setova u međusobnim susretima</a:t>
          </a:r>
        </a:p>
        <a:p>
          <a:pPr algn="l" rtl="1">
            <a:defRPr sz="1000"/>
          </a:pPr>
          <a:r>
            <a:rPr lang="vi-VN" sz="1000" b="0" i="0" strike="noStrike">
              <a:solidFill>
                <a:srgbClr val="000000"/>
              </a:solidFill>
              <a:latin typeface="Verdana"/>
            </a:rPr>
            <a:t>  - većem broju dobivenih setova u međusobnim susretima</a:t>
          </a:r>
        </a:p>
        <a:p>
          <a:pPr algn="l" rtl="1">
            <a:defRPr sz="1000"/>
          </a:pPr>
          <a:r>
            <a:rPr lang="vi-VN" sz="1000" b="0" i="0" strike="noStrike">
              <a:solidFill>
                <a:srgbClr val="000000"/>
              </a:solidFill>
              <a:latin typeface="Verdana"/>
            </a:rPr>
            <a:t>  - većoj razlici dobivenih i izgubljenih setova u svim susretima</a:t>
          </a:r>
        </a:p>
        <a:p>
          <a:pPr algn="l" rtl="1">
            <a:defRPr sz="1000"/>
          </a:pPr>
          <a:r>
            <a:rPr lang="vi-VN" sz="1000" b="0" i="0" strike="noStrike">
              <a:solidFill>
                <a:srgbClr val="000000"/>
              </a:solidFill>
              <a:latin typeface="Verdana"/>
            </a:rPr>
            <a:t>  - većem broju dobivenih setova u svim susretima</a:t>
          </a:r>
        </a:p>
        <a:p>
          <a:pPr algn="l" rtl="1">
            <a:defRPr sz="1000"/>
          </a:pPr>
          <a:r>
            <a:rPr lang="vi-VN" sz="1000" b="0" i="0" strike="noStrike">
              <a:solidFill>
                <a:srgbClr val="000000"/>
              </a:solidFill>
              <a:latin typeface="Verdana"/>
            </a:rPr>
            <a:t>  - većoj razlici dobivenih i izgubljenih gemova u međusobnim susretima</a:t>
          </a:r>
        </a:p>
        <a:p>
          <a:pPr algn="l" rtl="1">
            <a:defRPr sz="1000"/>
          </a:pPr>
          <a:r>
            <a:rPr lang="vi-VN" sz="1000" b="0" i="0" strike="noStrike">
              <a:solidFill>
                <a:srgbClr val="000000"/>
              </a:solidFill>
              <a:latin typeface="Verdana"/>
            </a:rPr>
            <a:t>  - većem broju dobivenih gemova u međusobnim susretima</a:t>
          </a:r>
        </a:p>
        <a:p>
          <a:pPr algn="l" rtl="1">
            <a:defRPr sz="1000"/>
          </a:pPr>
          <a:r>
            <a:rPr lang="vi-VN" sz="1000" b="0" i="0" strike="noStrike">
              <a:solidFill>
                <a:srgbClr val="000000"/>
              </a:solidFill>
              <a:latin typeface="Verdana"/>
            </a:rPr>
            <a:t>  - većoj razlici dobivenih i izgubljenih gemova u svim susretima</a:t>
          </a:r>
        </a:p>
        <a:p>
          <a:pPr algn="l" rtl="1">
            <a:defRPr sz="1000"/>
          </a:pPr>
          <a:r>
            <a:rPr lang="vi-VN" sz="1000" b="0" i="0" strike="noStrike">
              <a:solidFill>
                <a:srgbClr val="000000"/>
              </a:solidFill>
              <a:latin typeface="Verdana"/>
            </a:rPr>
            <a:t>  - većem broju dobivenih gemova u svim susretima</a:t>
          </a:r>
        </a:p>
        <a:p>
          <a:pPr algn="l" rtl="1">
            <a:defRPr sz="1000"/>
          </a:pPr>
          <a:r>
            <a:rPr lang="vi-VN" sz="1000" b="0" i="0" strike="noStrike">
              <a:solidFill>
                <a:srgbClr val="000000"/>
              </a:solidFill>
              <a:latin typeface="Verdana"/>
            </a:rPr>
            <a:t>  - ždrijebom</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14.9. Prvoplasirani igrač u quali skupini, ili prvo i drugoplasirani igrači ulaze u glavni turnir. Za igrače koji nisu ušli u glavni turnir organizator može prirediti utješni turnir.</a:t>
          </a:r>
        </a:p>
        <a:p>
          <a:pPr algn="l" rtl="1">
            <a:defRPr sz="1000"/>
          </a:pPr>
          <a:r>
            <a:rPr lang="vi-VN" sz="1000" b="0" i="0" strike="noStrike">
              <a:solidFill>
                <a:srgbClr val="000000"/>
              </a:solidFill>
              <a:latin typeface="Verdana"/>
            </a:rPr>
            <a:t>----------------------------------------------------</a:t>
          </a:r>
        </a:p>
        <a:p>
          <a:pPr algn="l" rtl="1">
            <a:defRPr sz="1000"/>
          </a:pPr>
          <a:r>
            <a:rPr lang="vi-VN" sz="1000" b="0" i="0" strike="noStrike">
              <a:solidFill>
                <a:srgbClr val="000000"/>
              </a:solidFill>
              <a:latin typeface="Verdana"/>
            </a:rPr>
            <a:t>14.10. Prednost pri ulasu u glavni turnir drugoplasiranih igrača u quali skupinama, u slučaju da u glavni turnir ne ulaze svi drugoplasirani igrači, imaju bolje plasirani igrači na rang listama.</a:t>
          </a:r>
        </a:p>
      </xdr:txBody>
    </xdr:sp>
    <xdr:clientData fPrintsWithSheet="0"/>
  </xdr:twoCellAnchor>
  <xdr:twoCellAnchor editAs="oneCell">
    <xdr:from>
      <xdr:col>16</xdr:col>
      <xdr:colOff>152400</xdr:colOff>
      <xdr:row>0</xdr:row>
      <xdr:rowOff>19050</xdr:rowOff>
    </xdr:from>
    <xdr:to>
      <xdr:col>17</xdr:col>
      <xdr:colOff>695325</xdr:colOff>
      <xdr:row>2</xdr:row>
      <xdr:rowOff>9525</xdr:rowOff>
    </xdr:to>
    <xdr:pic>
      <xdr:nvPicPr>
        <xdr:cNvPr id="17760" name="Picture 41" descr="HTS-logo-Kosturi"/>
        <xdr:cNvPicPr>
          <a:picLocks noChangeAspect="1" noChangeArrowheads="1"/>
        </xdr:cNvPicPr>
      </xdr:nvPicPr>
      <xdr:blipFill>
        <a:blip xmlns:r="http://schemas.openxmlformats.org/officeDocument/2006/relationships" r:embed="rId1" cstate="print"/>
        <a:srcRect/>
        <a:stretch>
          <a:fillRect/>
        </a:stretch>
      </xdr:blipFill>
      <xdr:spPr bwMode="auto">
        <a:xfrm>
          <a:off x="7639050" y="19050"/>
          <a:ext cx="1257300" cy="4572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absolute">
        <xdr:from>
          <xdr:col>14</xdr:col>
          <xdr:colOff>304800</xdr:colOff>
          <xdr:row>0</xdr:row>
          <xdr:rowOff>0</xdr:rowOff>
        </xdr:from>
        <xdr:to>
          <xdr:col>15</xdr:col>
          <xdr:colOff>504825</xdr:colOff>
          <xdr:row>0</xdr:row>
          <xdr:rowOff>266700</xdr:rowOff>
        </xdr:to>
        <xdr:sp macro="" textlink="">
          <xdr:nvSpPr>
            <xdr:cNvPr id="17410" name="Button 2" hidden="1">
              <a:extLst>
                <a:ext uri="{63B3BB69-23CF-44E3-9099-C40C66FF867C}">
                  <a14:compatExt spid="_x0000_s1741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hr-HR" sz="800" b="1" i="1" u="none" strike="noStrike" baseline="0">
                  <a:solidFill>
                    <a:srgbClr val="FF0000"/>
                  </a:solidFill>
                  <a:latin typeface="Arial"/>
                  <a:cs typeface="Arial"/>
                </a:rPr>
                <a:t>SA </a:t>
              </a:r>
              <a:r>
                <a:rPr lang="hr-HR" sz="800" b="0" i="1" u="none" strike="noStrike" baseline="0">
                  <a:solidFill>
                    <a:srgbClr val="FF0000"/>
                  </a:solidFill>
                  <a:latin typeface="Arial"/>
                  <a:cs typeface="Arial"/>
                </a:rPr>
                <a:t>sucima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523875</xdr:colOff>
          <xdr:row>0</xdr:row>
          <xdr:rowOff>0</xdr:rowOff>
        </xdr:from>
        <xdr:to>
          <xdr:col>16</xdr:col>
          <xdr:colOff>133350</xdr:colOff>
          <xdr:row>0</xdr:row>
          <xdr:rowOff>266700</xdr:rowOff>
        </xdr:to>
        <xdr:sp macro="" textlink="">
          <xdr:nvSpPr>
            <xdr:cNvPr id="17411" name="Button 3" hidden="1">
              <a:extLst>
                <a:ext uri="{63B3BB69-23CF-44E3-9099-C40C66FF867C}">
                  <a14:compatExt spid="_x0000_s1741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hr-HR" sz="800" b="1" i="1" u="none" strike="noStrike" baseline="0">
                  <a:solidFill>
                    <a:srgbClr val="FF0000"/>
                  </a:solidFill>
                  <a:latin typeface="Arial"/>
                  <a:cs typeface="Arial"/>
                </a:rPr>
                <a:t>BEZ </a:t>
              </a:r>
              <a:r>
                <a:rPr lang="hr-HR" sz="800" b="0" i="1" u="none" strike="noStrike" baseline="0">
                  <a:solidFill>
                    <a:srgbClr val="FF0000"/>
                  </a:solidFill>
                  <a:latin typeface="Arial"/>
                  <a:cs typeface="Arial"/>
                </a:rPr>
                <a:t>sudaca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13</xdr:col>
      <xdr:colOff>19050</xdr:colOff>
      <xdr:row>0</xdr:row>
      <xdr:rowOff>19050</xdr:rowOff>
    </xdr:from>
    <xdr:to>
      <xdr:col>14</xdr:col>
      <xdr:colOff>695325</xdr:colOff>
      <xdr:row>2</xdr:row>
      <xdr:rowOff>0</xdr:rowOff>
    </xdr:to>
    <xdr:pic>
      <xdr:nvPicPr>
        <xdr:cNvPr id="18625" name="Picture 38" descr="HTS-logo-Kosturi"/>
        <xdr:cNvPicPr>
          <a:picLocks noChangeAspect="1" noChangeArrowheads="1"/>
        </xdr:cNvPicPr>
      </xdr:nvPicPr>
      <xdr:blipFill>
        <a:blip xmlns:r="http://schemas.openxmlformats.org/officeDocument/2006/relationships" r:embed="rId1" cstate="print"/>
        <a:srcRect/>
        <a:stretch>
          <a:fillRect/>
        </a:stretch>
      </xdr:blipFill>
      <xdr:spPr bwMode="auto">
        <a:xfrm>
          <a:off x="8839200" y="19050"/>
          <a:ext cx="1257300" cy="4572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absolute">
        <xdr:from>
          <xdr:col>13</xdr:col>
          <xdr:colOff>276225</xdr:colOff>
          <xdr:row>0</xdr:row>
          <xdr:rowOff>0</xdr:rowOff>
        </xdr:from>
        <xdr:to>
          <xdr:col>15</xdr:col>
          <xdr:colOff>0</xdr:colOff>
          <xdr:row>2</xdr:row>
          <xdr:rowOff>57150</xdr:rowOff>
        </xdr:to>
        <xdr:grpSp>
          <xdr:nvGrpSpPr>
            <xdr:cNvPr id="18626" name="Group 18"/>
            <xdr:cNvGrpSpPr>
              <a:grpSpLocks/>
            </xdr:cNvGrpSpPr>
          </xdr:nvGrpSpPr>
          <xdr:grpSpPr bwMode="auto">
            <a:xfrm>
              <a:off x="9096375" y="0"/>
              <a:ext cx="1019175" cy="533400"/>
              <a:chOff x="958" y="0"/>
              <a:chExt cx="107" cy="56"/>
            </a:xfrm>
          </xdr:grpSpPr>
          <xdr:sp macro="" textlink="">
            <xdr:nvSpPr>
              <xdr:cNvPr id="18435" name="Si_Sort_Prezime" hidden="1">
                <a:extLst>
                  <a:ext uri="{63B3BB69-23CF-44E3-9099-C40C66FF867C}">
                    <a14:compatExt spid="_x0000_s18435"/>
                  </a:ext>
                </a:extLst>
              </xdr:cNvPr>
              <xdr:cNvSpPr/>
            </xdr:nvSpPr>
            <xdr:spPr>
              <a:xfrm>
                <a:off x="958" y="15"/>
                <a:ext cx="107" cy="21"/>
              </a:xfrm>
              <a:prstGeom prst="rect">
                <a:avLst/>
              </a:prstGeom>
            </xdr:spPr>
          </xdr:sp>
          <xdr:sp macro="" textlink="">
            <xdr:nvSpPr>
              <xdr:cNvPr id="18437" name="Si_Sort_RangLista" hidden="1">
                <a:extLst>
                  <a:ext uri="{63B3BB69-23CF-44E3-9099-C40C66FF867C}">
                    <a14:compatExt spid="_x0000_s18437"/>
                  </a:ext>
                </a:extLst>
              </xdr:cNvPr>
              <xdr:cNvSpPr/>
            </xdr:nvSpPr>
            <xdr:spPr>
              <a:xfrm>
                <a:off x="958" y="35"/>
                <a:ext cx="107" cy="21"/>
              </a:xfrm>
              <a:prstGeom prst="rect">
                <a:avLst/>
              </a:prstGeom>
            </xdr:spPr>
          </xdr:sp>
          <xdr:sp macro="" textlink="">
            <xdr:nvSpPr>
              <xdr:cNvPr id="18438" name="Label1" hidden="1">
                <a:extLst>
                  <a:ext uri="{63B3BB69-23CF-44E3-9099-C40C66FF867C}">
                    <a14:compatExt spid="_x0000_s18438"/>
                  </a:ext>
                </a:extLst>
              </xdr:cNvPr>
              <xdr:cNvSpPr/>
            </xdr:nvSpPr>
            <xdr:spPr>
              <a:xfrm>
                <a:off x="958" y="0"/>
                <a:ext cx="107" cy="16"/>
              </a:xfrm>
              <a:prstGeom prst="rect">
                <a:avLst/>
              </a:prstGeom>
            </xdr:spPr>
          </xdr:sp>
        </xdr:grp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17</xdr:col>
      <xdr:colOff>104775</xdr:colOff>
      <xdr:row>0</xdr:row>
      <xdr:rowOff>19050</xdr:rowOff>
    </xdr:from>
    <xdr:to>
      <xdr:col>17</xdr:col>
      <xdr:colOff>1362075</xdr:colOff>
      <xdr:row>2</xdr:row>
      <xdr:rowOff>9525</xdr:rowOff>
    </xdr:to>
    <xdr:pic>
      <xdr:nvPicPr>
        <xdr:cNvPr id="22678" name="Picture 12" descr="HTS-logo-Kosturi"/>
        <xdr:cNvPicPr>
          <a:picLocks noChangeAspect="1" noChangeArrowheads="1"/>
        </xdr:cNvPicPr>
      </xdr:nvPicPr>
      <xdr:blipFill>
        <a:blip xmlns:r="http://schemas.openxmlformats.org/officeDocument/2006/relationships" r:embed="rId1" cstate="print"/>
        <a:srcRect/>
        <a:stretch>
          <a:fillRect/>
        </a:stretch>
      </xdr:blipFill>
      <xdr:spPr bwMode="auto">
        <a:xfrm>
          <a:off x="7648575" y="19050"/>
          <a:ext cx="1257300" cy="4572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absolute">
        <xdr:from>
          <xdr:col>15</xdr:col>
          <xdr:colOff>0</xdr:colOff>
          <xdr:row>0</xdr:row>
          <xdr:rowOff>0</xdr:rowOff>
        </xdr:from>
        <xdr:to>
          <xdr:col>15</xdr:col>
          <xdr:colOff>647700</xdr:colOff>
          <xdr:row>0</xdr:row>
          <xdr:rowOff>266700</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hr-HR" sz="800" b="1" i="1" u="none" strike="noStrike" baseline="0">
                  <a:solidFill>
                    <a:srgbClr val="FF0000"/>
                  </a:solidFill>
                  <a:latin typeface="Arial"/>
                  <a:cs typeface="Arial"/>
                </a:rPr>
                <a:t>SA </a:t>
              </a:r>
              <a:r>
                <a:rPr lang="hr-HR" sz="800" b="0" i="1" u="none" strike="noStrike" baseline="0">
                  <a:solidFill>
                    <a:srgbClr val="FF0000"/>
                  </a:solidFill>
                  <a:latin typeface="Arial"/>
                  <a:cs typeface="Arial"/>
                </a:rPr>
                <a:t>sucima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666750</xdr:colOff>
          <xdr:row>0</xdr:row>
          <xdr:rowOff>0</xdr:rowOff>
        </xdr:from>
        <xdr:to>
          <xdr:col>16</xdr:col>
          <xdr:colOff>0</xdr:colOff>
          <xdr:row>0</xdr:row>
          <xdr:rowOff>266700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hr-HR" sz="800" b="1" i="1" u="none" strike="noStrike" baseline="0">
                  <a:solidFill>
                    <a:srgbClr val="FF0000"/>
                  </a:solidFill>
                  <a:latin typeface="Arial"/>
                  <a:cs typeface="Arial"/>
                </a:rPr>
                <a:t>BEZ </a:t>
              </a:r>
              <a:r>
                <a:rPr lang="hr-HR" sz="800" b="0" i="1" u="none" strike="noStrike" baseline="0">
                  <a:solidFill>
                    <a:srgbClr val="FF0000"/>
                  </a:solidFill>
                  <a:latin typeface="Arial"/>
                  <a:cs typeface="Arial"/>
                </a:rPr>
                <a:t>sudaca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57150</xdr:colOff>
      <xdr:row>0</xdr:row>
      <xdr:rowOff>66675</xdr:rowOff>
    </xdr:from>
    <xdr:to>
      <xdr:col>1</xdr:col>
      <xdr:colOff>1190625</xdr:colOff>
      <xdr:row>2</xdr:row>
      <xdr:rowOff>28575</xdr:rowOff>
    </xdr:to>
    <xdr:pic>
      <xdr:nvPicPr>
        <xdr:cNvPr id="40080" name="Picture 6" descr="HTS-logo-Kosturi"/>
        <xdr:cNvPicPr>
          <a:picLocks noChangeAspect="1" noChangeArrowheads="1"/>
        </xdr:cNvPicPr>
      </xdr:nvPicPr>
      <xdr:blipFill>
        <a:blip xmlns:r="http://schemas.openxmlformats.org/officeDocument/2006/relationships" r:embed="rId1" cstate="print"/>
        <a:srcRect/>
        <a:stretch>
          <a:fillRect/>
        </a:stretch>
      </xdr:blipFill>
      <xdr:spPr bwMode="auto">
        <a:xfrm>
          <a:off x="57150" y="66675"/>
          <a:ext cx="1447800" cy="52387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28" Type="http://schemas.openxmlformats.org/officeDocument/2006/relationships/ctrlProp" Target="../ctrlProps/ctrlProp125.xml"/><Relationship Id="rId144" Type="http://schemas.openxmlformats.org/officeDocument/2006/relationships/ctrlProp" Target="../ctrlProps/ctrlProp141.xml"/><Relationship Id="rId149" Type="http://schemas.openxmlformats.org/officeDocument/2006/relationships/ctrlProp" Target="../ctrlProps/ctrlProp14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160" Type="http://schemas.openxmlformats.org/officeDocument/2006/relationships/ctrlProp" Target="../ctrlProps/ctrlProp157.xml"/><Relationship Id="rId165" Type="http://schemas.openxmlformats.org/officeDocument/2006/relationships/ctrlProp" Target="../ctrlProps/ctrlProp162.xml"/><Relationship Id="rId181" Type="http://schemas.openxmlformats.org/officeDocument/2006/relationships/ctrlProp" Target="../ctrlProps/ctrlProp178.xml"/><Relationship Id="rId186" Type="http://schemas.openxmlformats.org/officeDocument/2006/relationships/ctrlProp" Target="../ctrlProps/ctrlProp183.xml"/><Relationship Id="rId211" Type="http://schemas.openxmlformats.org/officeDocument/2006/relationships/ctrlProp" Target="../ctrlProps/ctrlProp208.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134" Type="http://schemas.openxmlformats.org/officeDocument/2006/relationships/ctrlProp" Target="../ctrlProps/ctrlProp131.xml"/><Relationship Id="rId139" Type="http://schemas.openxmlformats.org/officeDocument/2006/relationships/ctrlProp" Target="../ctrlProps/ctrlProp136.xml"/><Relationship Id="rId80" Type="http://schemas.openxmlformats.org/officeDocument/2006/relationships/ctrlProp" Target="../ctrlProps/ctrlProp77.xml"/><Relationship Id="rId85" Type="http://schemas.openxmlformats.org/officeDocument/2006/relationships/ctrlProp" Target="../ctrlProps/ctrlProp82.xml"/><Relationship Id="rId150" Type="http://schemas.openxmlformats.org/officeDocument/2006/relationships/ctrlProp" Target="../ctrlProps/ctrlProp147.xml"/><Relationship Id="rId155" Type="http://schemas.openxmlformats.org/officeDocument/2006/relationships/ctrlProp" Target="../ctrlProps/ctrlProp152.xml"/><Relationship Id="rId171" Type="http://schemas.openxmlformats.org/officeDocument/2006/relationships/ctrlProp" Target="../ctrlProps/ctrlProp168.xml"/><Relationship Id="rId176" Type="http://schemas.openxmlformats.org/officeDocument/2006/relationships/ctrlProp" Target="../ctrlProps/ctrlProp173.xml"/><Relationship Id="rId192" Type="http://schemas.openxmlformats.org/officeDocument/2006/relationships/ctrlProp" Target="../ctrlProps/ctrlProp189.xml"/><Relationship Id="rId197" Type="http://schemas.openxmlformats.org/officeDocument/2006/relationships/ctrlProp" Target="../ctrlProps/ctrlProp194.xml"/><Relationship Id="rId206" Type="http://schemas.openxmlformats.org/officeDocument/2006/relationships/ctrlProp" Target="../ctrlProps/ctrlProp203.xml"/><Relationship Id="rId201" Type="http://schemas.openxmlformats.org/officeDocument/2006/relationships/ctrlProp" Target="../ctrlProps/ctrlProp198.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82" Type="http://schemas.openxmlformats.org/officeDocument/2006/relationships/ctrlProp" Target="../ctrlProps/ctrlProp179.xml"/><Relationship Id="rId187" Type="http://schemas.openxmlformats.org/officeDocument/2006/relationships/ctrlProp" Target="../ctrlProps/ctrlProp18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212" Type="http://schemas.openxmlformats.org/officeDocument/2006/relationships/ctrlProp" Target="../ctrlProps/ctrlProp209.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172" Type="http://schemas.openxmlformats.org/officeDocument/2006/relationships/ctrlProp" Target="../ctrlProps/ctrlProp169.xml"/><Relationship Id="rId193" Type="http://schemas.openxmlformats.org/officeDocument/2006/relationships/ctrlProp" Target="../ctrlProps/ctrlProp190.xml"/><Relationship Id="rId202" Type="http://schemas.openxmlformats.org/officeDocument/2006/relationships/ctrlProp" Target="../ctrlProps/ctrlProp199.xml"/><Relationship Id="rId207" Type="http://schemas.openxmlformats.org/officeDocument/2006/relationships/ctrlProp" Target="../ctrlProps/ctrlProp204.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183" Type="http://schemas.openxmlformats.org/officeDocument/2006/relationships/ctrlProp" Target="../ctrlProps/ctrlProp180.xml"/><Relationship Id="rId213" Type="http://schemas.openxmlformats.org/officeDocument/2006/relationships/ctrlProp" Target="../ctrlProps/ctrlProp210.xml"/><Relationship Id="rId2" Type="http://schemas.openxmlformats.org/officeDocument/2006/relationships/drawing" Target="../drawings/drawing2.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13.xml"/><Relationship Id="rId3" Type="http://schemas.openxmlformats.org/officeDocument/2006/relationships/vmlDrawing" Target="../drawings/vmlDrawing3.vml"/><Relationship Id="rId7" Type="http://schemas.openxmlformats.org/officeDocument/2006/relationships/image" Target="../media/image3.emf"/><Relationship Id="rId12" Type="http://schemas.openxmlformats.org/officeDocument/2006/relationships/ctrlProp" Target="../ctrlProps/ctrlProp212.xml"/><Relationship Id="rId2" Type="http://schemas.openxmlformats.org/officeDocument/2006/relationships/drawing" Target="../drawings/drawing4.xml"/><Relationship Id="rId16"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trlProp" Target="../ctrlProps/ctrlProp215.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trlProp" Target="../ctrlProps/ctrlProp2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4.vml"/><Relationship Id="rId7" Type="http://schemas.openxmlformats.org/officeDocument/2006/relationships/image" Target="../media/image7.emf"/><Relationship Id="rId12" Type="http://schemas.openxmlformats.org/officeDocument/2006/relationships/comments" Target="../comments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6.xml"/><Relationship Id="rId11" Type="http://schemas.openxmlformats.org/officeDocument/2006/relationships/image" Target="../media/image9.emf"/><Relationship Id="rId5" Type="http://schemas.openxmlformats.org/officeDocument/2006/relationships/image" Target="../media/image6.emf"/><Relationship Id="rId10" Type="http://schemas.openxmlformats.org/officeDocument/2006/relationships/control" Target="../activeX/activeX8.xml"/><Relationship Id="rId4" Type="http://schemas.openxmlformats.org/officeDocument/2006/relationships/control" Target="../activeX/activeX5.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ctrlProp" Target="../ctrlProps/ctrlProp217.xml"/><Relationship Id="rId4" Type="http://schemas.openxmlformats.org/officeDocument/2006/relationships/ctrlProp" Target="../ctrlProps/ctrlProp21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1.xml"/><Relationship Id="rId3" Type="http://schemas.openxmlformats.org/officeDocument/2006/relationships/vmlDrawing" Target="../drawings/vmlDrawing6.vml"/><Relationship Id="rId7" Type="http://schemas.openxmlformats.org/officeDocument/2006/relationships/image" Target="../media/image11.emf"/><Relationship Id="rId12" Type="http://schemas.openxmlformats.org/officeDocument/2006/relationships/comments" Target="../comments5.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12.xml"/><Relationship Id="rId4" Type="http://schemas.openxmlformats.org/officeDocument/2006/relationships/control" Target="../activeX/activeX9.xml"/><Relationship Id="rId9" Type="http://schemas.openxmlformats.org/officeDocument/2006/relationships/image" Target="../media/image12.emf"/></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ctrlProp" Target="../ctrlProps/ctrlProp219.xml"/><Relationship Id="rId4" Type="http://schemas.openxmlformats.org/officeDocument/2006/relationships/ctrlProp" Target="../ctrlProps/ctrlProp218.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5.xml"/><Relationship Id="rId3" Type="http://schemas.openxmlformats.org/officeDocument/2006/relationships/vmlDrawing" Target="../drawings/vmlDrawing8.vml"/><Relationship Id="rId7" Type="http://schemas.openxmlformats.org/officeDocument/2006/relationships/image" Target="../media/image1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4.xml"/><Relationship Id="rId5" Type="http://schemas.openxmlformats.org/officeDocument/2006/relationships/image" Target="../media/image14.emf"/><Relationship Id="rId10" Type="http://schemas.openxmlformats.org/officeDocument/2006/relationships/comments" Target="../comments7.xml"/><Relationship Id="rId4" Type="http://schemas.openxmlformats.org/officeDocument/2006/relationships/control" Target="../activeX/activeX13.xml"/><Relationship Id="rId9" Type="http://schemas.openxmlformats.org/officeDocument/2006/relationships/image" Target="../media/image1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ctrlProp" Target="../ctrlProps/ctrlProp221.xml"/><Relationship Id="rId4" Type="http://schemas.openxmlformats.org/officeDocument/2006/relationships/ctrlProp" Target="../ctrlProps/ctrlProp22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103" enableFormatConditionsCalculation="0">
    <tabColor indexed="13"/>
  </sheetPr>
  <dimension ref="A1:N78"/>
  <sheetViews>
    <sheetView showGridLines="0" showRowColHeaders="0" showZeros="0" view="pageBreakPreview" zoomScaleNormal="100" zoomScaleSheetLayoutView="100" workbookViewId="0">
      <pane ySplit="10" topLeftCell="A11" activePane="bottomLeft" state="frozenSplit"/>
      <selection activeCell="D18" sqref="D18"/>
      <selection pane="bottomLeft" activeCell="I16" sqref="I16"/>
    </sheetView>
  </sheetViews>
  <sheetFormatPr defaultRowHeight="12.75" x14ac:dyDescent="0.2"/>
  <cols>
    <col min="1" max="1" width="3.7109375" style="14" customWidth="1"/>
    <col min="2" max="2" width="1.7109375" style="14" customWidth="1"/>
    <col min="3" max="3" width="19.7109375" style="14" customWidth="1"/>
    <col min="4" max="4" width="15.7109375" style="14" customWidth="1"/>
    <col min="5" max="5" width="8.7109375" style="14" customWidth="1"/>
    <col min="6" max="7" width="9.7109375" style="14" customWidth="1"/>
    <col min="8" max="8" width="5.7109375" style="14" customWidth="1"/>
    <col min="9" max="9" width="14.7109375" style="14" customWidth="1"/>
    <col min="10" max="10" width="8.7109375" style="14" customWidth="1"/>
    <col min="11" max="11" width="9.140625" style="14"/>
    <col min="12" max="12" width="20.7109375" style="14" hidden="1" customWidth="1"/>
    <col min="13" max="13" width="12.7109375" style="14" hidden="1" customWidth="1"/>
    <col min="14" max="14" width="10.7109375" style="14" hidden="1" customWidth="1"/>
    <col min="15" max="16384" width="9.140625" style="14"/>
  </cols>
  <sheetData>
    <row r="1" spans="1:14" ht="22.5" customHeight="1" x14ac:dyDescent="0.3">
      <c r="A1" s="11" t="str">
        <f>Pocetna!$B$7</f>
        <v xml:space="preserve">OP SAMOBORA </v>
      </c>
      <c r="B1" s="11"/>
      <c r="C1" s="12"/>
      <c r="D1" s="12"/>
      <c r="E1" s="12"/>
      <c r="F1" s="13"/>
      <c r="I1" s="271"/>
      <c r="J1" s="271"/>
      <c r="K1" s="13"/>
      <c r="L1" s="13"/>
    </row>
    <row r="2" spans="1:14" ht="15" x14ac:dyDescent="0.2">
      <c r="A2" s="39" t="str">
        <f>Pocetna!$C$10</f>
        <v>djevojčice i dječaci do 12 god.</v>
      </c>
      <c r="B2" s="39"/>
      <c r="C2" s="39"/>
      <c r="D2" s="39"/>
      <c r="E2" s="39"/>
      <c r="F2" s="13"/>
      <c r="I2" s="271"/>
      <c r="J2" s="271"/>
      <c r="K2" s="13"/>
      <c r="L2" s="16"/>
    </row>
    <row r="3" spans="1:14" ht="13.5" customHeight="1" x14ac:dyDescent="0.2">
      <c r="A3" s="39"/>
      <c r="B3" s="39"/>
      <c r="C3" s="39"/>
      <c r="D3" s="39"/>
      <c r="E3" s="73" t="s">
        <v>171</v>
      </c>
      <c r="F3" s="13"/>
      <c r="G3" s="13"/>
      <c r="H3" s="13"/>
      <c r="I3" s="15"/>
      <c r="J3" s="13"/>
      <c r="K3" s="13"/>
      <c r="L3" s="16"/>
    </row>
    <row r="4" spans="1:14" ht="13.5" customHeight="1" x14ac:dyDescent="0.2">
      <c r="A4" s="73"/>
      <c r="B4" s="73"/>
      <c r="C4" s="73"/>
      <c r="D4" s="73"/>
      <c r="E4" s="73"/>
      <c r="F4" s="73"/>
      <c r="G4" s="73"/>
      <c r="H4" s="73"/>
      <c r="I4" s="73"/>
      <c r="J4" s="73"/>
      <c r="K4" s="15"/>
      <c r="L4" s="18"/>
    </row>
    <row r="5" spans="1:14" ht="13.5" customHeight="1" x14ac:dyDescent="0.2">
      <c r="A5" s="40" t="str">
        <f>Pocetna!$B$11</f>
        <v>Datum turnira</v>
      </c>
      <c r="B5" s="40"/>
      <c r="C5" s="40"/>
      <c r="D5" s="40" t="str">
        <f>Pocetna!$D$11</f>
        <v>Organizator</v>
      </c>
      <c r="E5" s="40"/>
      <c r="F5" s="40" t="str">
        <f>Pocetna!$E$11</f>
        <v>Mjesto</v>
      </c>
      <c r="G5" s="37"/>
      <c r="J5" s="41" t="str">
        <f>Pocetna!$F$11</f>
        <v>Vrhovni sudac</v>
      </c>
    </row>
    <row r="6" spans="1:14" ht="13.5" customHeight="1" x14ac:dyDescent="0.2">
      <c r="A6" s="42" t="str">
        <f>Pocetna!$B$12</f>
        <v>(22.)24.-26.04.2016.</v>
      </c>
      <c r="B6" s="42"/>
      <c r="C6" s="42"/>
      <c r="D6" s="42" t="str">
        <f>Pocetna!$D$12</f>
        <v>TK Samobor1890</v>
      </c>
      <c r="E6" s="42"/>
      <c r="F6" s="42" t="str">
        <f>Pocetna!$E$12</f>
        <v>Samobor</v>
      </c>
      <c r="J6" s="37" t="str">
        <f>Pocetna!$F$12</f>
        <v>Mladen Šančić</v>
      </c>
    </row>
    <row r="7" spans="1:14" ht="13.5" customHeight="1" x14ac:dyDescent="0.2">
      <c r="A7" s="40" t="str">
        <f>Pocetna!$C$11</f>
        <v>ID turnira</v>
      </c>
      <c r="B7" s="40"/>
      <c r="C7" s="40"/>
      <c r="D7" s="40" t="str">
        <f>Pocetna!$B$15</f>
        <v>Rang turnira</v>
      </c>
      <c r="E7" s="40"/>
      <c r="F7" s="76"/>
    </row>
    <row r="8" spans="1:14" ht="13.5" customHeight="1" thickBot="1" x14ac:dyDescent="0.25">
      <c r="A8" s="42" t="str">
        <f>Pocetna!$C$12</f>
        <v>R12_20160422_SAM</v>
      </c>
      <c r="B8" s="42"/>
      <c r="C8" s="38"/>
      <c r="D8" s="42" t="str">
        <f>Pocetna!$B$16</f>
        <v>4. rang</v>
      </c>
      <c r="E8" s="19"/>
      <c r="F8" s="76"/>
    </row>
    <row r="9" spans="1:14" ht="13.5" hidden="1" customHeight="1" thickBot="1" x14ac:dyDescent="0.25">
      <c r="A9" s="42"/>
      <c r="B9" s="42"/>
      <c r="C9" s="38"/>
      <c r="D9" s="42"/>
      <c r="E9" s="19"/>
      <c r="G9" s="79"/>
      <c r="H9" s="80"/>
    </row>
    <row r="10" spans="1:14" ht="30" customHeight="1" thickBot="1" x14ac:dyDescent="0.25">
      <c r="A10" s="261" t="s">
        <v>61</v>
      </c>
      <c r="B10" s="555" t="s">
        <v>55</v>
      </c>
      <c r="C10" s="556"/>
      <c r="D10" s="75" t="s">
        <v>56</v>
      </c>
      <c r="E10" s="75" t="s">
        <v>1</v>
      </c>
      <c r="F10" s="557" t="s">
        <v>142</v>
      </c>
      <c r="G10" s="558"/>
      <c r="H10" s="559"/>
      <c r="I10" s="75" t="s">
        <v>141</v>
      </c>
      <c r="J10" s="262" t="s">
        <v>140</v>
      </c>
    </row>
    <row r="11" spans="1:14" ht="20.25" customHeight="1" thickBot="1" x14ac:dyDescent="0.25">
      <c r="A11" s="81">
        <v>1</v>
      </c>
      <c r="B11" s="498">
        <v>20</v>
      </c>
      <c r="C11" s="162" t="str">
        <f>UPPER(IF($B11="","",VLOOKUP($B11,'Lista prijave'!$A$11:$F$210,2)))</f>
        <v>KOLIĆ</v>
      </c>
      <c r="D11" s="162" t="str">
        <f>IF($B11="","",VLOOKUP($B11,'Lista prijave'!$A$11:$F$210,3))</f>
        <v>Kristijan</v>
      </c>
      <c r="E11" s="499" t="str">
        <f>IF($B11="","",VLOOKUP($B11,'Lista prijave'!$A$11:$F$210,4))</f>
        <v>OG</v>
      </c>
      <c r="F11" s="552" t="s">
        <v>146</v>
      </c>
      <c r="G11" s="552"/>
      <c r="H11" s="552"/>
      <c r="I11" s="471" t="s">
        <v>153</v>
      </c>
      <c r="J11" s="472" t="s">
        <v>151</v>
      </c>
      <c r="L11" s="255" t="s">
        <v>142</v>
      </c>
      <c r="M11" s="257" t="s">
        <v>141</v>
      </c>
      <c r="N11" s="256" t="s">
        <v>140</v>
      </c>
    </row>
    <row r="12" spans="1:14" ht="20.25" customHeight="1" x14ac:dyDescent="0.2">
      <c r="A12" s="82">
        <v>2</v>
      </c>
      <c r="B12" s="498">
        <v>27</v>
      </c>
      <c r="C12" s="162" t="str">
        <f>UPPER(IF($B12="","",VLOOKUP($B12,'Lista prijave'!$A$11:$F$210,2)))</f>
        <v>JURLINA</v>
      </c>
      <c r="D12" s="162" t="str">
        <f>IF($B12="","",VLOOKUP($B12,'Lista prijave'!$A$11:$F$210,3))</f>
        <v>Luka</v>
      </c>
      <c r="E12" s="499" t="str">
        <f>IF($B12="","",VLOOKUP($B12,'Lista prijave'!$A$11:$F$210,4))</f>
        <v>ITE</v>
      </c>
      <c r="F12" s="552" t="s">
        <v>146</v>
      </c>
      <c r="G12" s="552"/>
      <c r="H12" s="552"/>
      <c r="I12" s="471" t="s">
        <v>153</v>
      </c>
      <c r="J12" s="472" t="s">
        <v>151</v>
      </c>
      <c r="L12" s="258" t="s">
        <v>143</v>
      </c>
      <c r="M12" s="258" t="s">
        <v>144</v>
      </c>
      <c r="N12" s="258" t="s">
        <v>145</v>
      </c>
    </row>
    <row r="13" spans="1:14" ht="20.25" customHeight="1" x14ac:dyDescent="0.2">
      <c r="A13" s="82">
        <v>3</v>
      </c>
      <c r="B13" s="498">
        <v>8</v>
      </c>
      <c r="C13" s="162" t="str">
        <f>UPPER(IF($B13="","",VLOOKUP($B13,'Lista prijave'!$A$11:$F$210,2)))</f>
        <v>SALOPEK</v>
      </c>
      <c r="D13" s="162" t="str">
        <f>IF($B13="","",VLOOKUP($B13,'Lista prijave'!$A$11:$F$210,3))</f>
        <v>Dorian</v>
      </c>
      <c r="E13" s="499" t="str">
        <f>IF($B13="","",VLOOKUP($B13,'Lista prijave'!$A$11:$F$210,4))</f>
        <v>OG</v>
      </c>
      <c r="F13" s="552" t="s">
        <v>146</v>
      </c>
      <c r="G13" s="552"/>
      <c r="H13" s="552"/>
      <c r="I13" s="471" t="s">
        <v>153</v>
      </c>
      <c r="J13" s="472" t="s">
        <v>151</v>
      </c>
      <c r="L13" s="259" t="s">
        <v>146</v>
      </c>
      <c r="M13" s="259" t="s">
        <v>147</v>
      </c>
      <c r="N13" s="259" t="s">
        <v>148</v>
      </c>
    </row>
    <row r="14" spans="1:14" ht="20.25" customHeight="1" x14ac:dyDescent="0.2">
      <c r="A14" s="82">
        <v>4</v>
      </c>
      <c r="B14" s="498"/>
      <c r="C14" s="162" t="str">
        <f>UPPER(IF($B14="","",VLOOKUP($B14,'Lista prijave'!$A$11:$F$210,2)))</f>
        <v/>
      </c>
      <c r="D14" s="162" t="str">
        <f>IF($B14="","",VLOOKUP($B14,'Lista prijave'!$A$11:$F$210,3))</f>
        <v/>
      </c>
      <c r="E14" s="499" t="str">
        <f>IF($B14="","",VLOOKUP($B14,'Lista prijave'!$A$11:$F$210,4))</f>
        <v/>
      </c>
      <c r="F14" s="552"/>
      <c r="G14" s="552"/>
      <c r="H14" s="552"/>
      <c r="I14" s="471"/>
      <c r="J14" s="472"/>
      <c r="L14" s="259" t="s">
        <v>149</v>
      </c>
      <c r="M14" s="259" t="s">
        <v>150</v>
      </c>
      <c r="N14" s="259" t="s">
        <v>151</v>
      </c>
    </row>
    <row r="15" spans="1:14" ht="20.25" customHeight="1" thickBot="1" x14ac:dyDescent="0.25">
      <c r="A15" s="82">
        <v>5</v>
      </c>
      <c r="B15" s="498"/>
      <c r="C15" s="162" t="str">
        <f>UPPER(IF($B15="","",VLOOKUP($B15,'Lista prijave'!$A$11:$F$210,2)))</f>
        <v/>
      </c>
      <c r="D15" s="162" t="str">
        <f>IF($B15="","",VLOOKUP($B15,'Lista prijave'!$A$11:$F$210,3))</f>
        <v/>
      </c>
      <c r="E15" s="499" t="str">
        <f>IF($B15="","",VLOOKUP($B15,'Lista prijave'!$A$11:$F$210,4))</f>
        <v/>
      </c>
      <c r="F15" s="552"/>
      <c r="G15" s="552"/>
      <c r="H15" s="552"/>
      <c r="I15" s="471"/>
      <c r="J15" s="472"/>
      <c r="L15" s="259" t="s">
        <v>152</v>
      </c>
      <c r="M15" s="260" t="s">
        <v>153</v>
      </c>
      <c r="N15" s="260" t="s">
        <v>154</v>
      </c>
    </row>
    <row r="16" spans="1:14" ht="20.25" customHeight="1" x14ac:dyDescent="0.2">
      <c r="A16" s="82">
        <v>6</v>
      </c>
      <c r="B16" s="498"/>
      <c r="C16" s="162" t="str">
        <f>UPPER(IF($B16="","",VLOOKUP($B16,'Lista prijave'!$A$11:$F$210,2)))</f>
        <v/>
      </c>
      <c r="D16" s="162" t="str">
        <f>IF($B16="","",VLOOKUP($B16,'Lista prijave'!$A$11:$F$210,3))</f>
        <v/>
      </c>
      <c r="E16" s="499" t="str">
        <f>IF($B16="","",VLOOKUP($B16,'Lista prijave'!$A$11:$F$210,4))</f>
        <v/>
      </c>
      <c r="F16" s="552"/>
      <c r="G16" s="552"/>
      <c r="H16" s="552"/>
      <c r="I16" s="471"/>
      <c r="J16" s="472"/>
      <c r="L16" s="259" t="s">
        <v>155</v>
      </c>
      <c r="M16" s="19"/>
      <c r="N16" s="19"/>
    </row>
    <row r="17" spans="1:14" ht="20.25" customHeight="1" x14ac:dyDescent="0.2">
      <c r="A17" s="82">
        <v>7</v>
      </c>
      <c r="B17" s="498"/>
      <c r="C17" s="162" t="str">
        <f>UPPER(IF($B17="","",VLOOKUP($B17,'Lista prijave'!$A$11:$F$210,2)))</f>
        <v/>
      </c>
      <c r="D17" s="162" t="str">
        <f>IF($B17="","",VLOOKUP($B17,'Lista prijave'!$A$11:$F$210,3))</f>
        <v/>
      </c>
      <c r="E17" s="499" t="str">
        <f>IF($B17="","",VLOOKUP($B17,'Lista prijave'!$A$11:$F$210,4))</f>
        <v/>
      </c>
      <c r="F17" s="552"/>
      <c r="G17" s="552"/>
      <c r="H17" s="552"/>
      <c r="I17" s="471"/>
      <c r="J17" s="472"/>
      <c r="L17" s="259" t="s">
        <v>156</v>
      </c>
      <c r="M17" s="19"/>
      <c r="N17" s="19"/>
    </row>
    <row r="18" spans="1:14" ht="20.25" customHeight="1" x14ac:dyDescent="0.2">
      <c r="A18" s="82">
        <v>8</v>
      </c>
      <c r="B18" s="498"/>
      <c r="C18" s="162" t="str">
        <f>UPPER(IF($B18="","",VLOOKUP($B18,'Lista prijave'!$A$11:$F$210,2)))</f>
        <v/>
      </c>
      <c r="D18" s="162" t="str">
        <f>IF($B18="","",VLOOKUP($B18,'Lista prijave'!$A$11:$F$210,3))</f>
        <v/>
      </c>
      <c r="E18" s="499" t="str">
        <f>IF($B18="","",VLOOKUP($B18,'Lista prijave'!$A$11:$F$210,4))</f>
        <v/>
      </c>
      <c r="F18" s="552"/>
      <c r="G18" s="552"/>
      <c r="H18" s="552"/>
      <c r="I18" s="471"/>
      <c r="J18" s="472"/>
      <c r="L18" s="259" t="s">
        <v>157</v>
      </c>
      <c r="M18" s="19"/>
      <c r="N18" s="19"/>
    </row>
    <row r="19" spans="1:14" ht="20.25" customHeight="1" x14ac:dyDescent="0.2">
      <c r="A19" s="82">
        <v>9</v>
      </c>
      <c r="B19" s="498"/>
      <c r="C19" s="162" t="str">
        <f>UPPER(IF($B19="","",VLOOKUP($B19,'Lista prijave'!$A$11:$F$210,2)))</f>
        <v/>
      </c>
      <c r="D19" s="162" t="str">
        <f>IF($B19="","",VLOOKUP($B19,'Lista prijave'!$A$11:$F$210,3))</f>
        <v/>
      </c>
      <c r="E19" s="499" t="str">
        <f>IF($B19="","",VLOOKUP($B19,'Lista prijave'!$A$11:$F$210,4))</f>
        <v/>
      </c>
      <c r="F19" s="552"/>
      <c r="G19" s="552"/>
      <c r="H19" s="552"/>
      <c r="I19" s="471"/>
      <c r="J19" s="472"/>
      <c r="L19" s="259" t="s">
        <v>158</v>
      </c>
      <c r="M19" s="19"/>
      <c r="N19" s="19"/>
    </row>
    <row r="20" spans="1:14" ht="20.25" customHeight="1" x14ac:dyDescent="0.2">
      <c r="A20" s="82">
        <v>10</v>
      </c>
      <c r="B20" s="498"/>
      <c r="C20" s="162" t="str">
        <f>UPPER(IF($B20="","",VLOOKUP($B20,'Lista prijave'!$A$11:$F$210,2)))</f>
        <v/>
      </c>
      <c r="D20" s="162" t="str">
        <f>IF($B20="","",VLOOKUP($B20,'Lista prijave'!$A$11:$F$210,3))</f>
        <v/>
      </c>
      <c r="E20" s="499" t="str">
        <f>IF($B20="","",VLOOKUP($B20,'Lista prijave'!$A$11:$F$210,4))</f>
        <v/>
      </c>
      <c r="F20" s="552"/>
      <c r="G20" s="552"/>
      <c r="H20" s="552"/>
      <c r="I20" s="471"/>
      <c r="J20" s="472"/>
      <c r="L20" s="259" t="s">
        <v>159</v>
      </c>
      <c r="M20" s="19"/>
      <c r="N20" s="19"/>
    </row>
    <row r="21" spans="1:14" ht="20.25" customHeight="1" x14ac:dyDescent="0.2">
      <c r="A21" s="82">
        <v>11</v>
      </c>
      <c r="B21" s="498"/>
      <c r="C21" s="162" t="str">
        <f>UPPER(IF($B21="","",VLOOKUP($B21,'Lista prijave'!$A$11:$F$210,2)))</f>
        <v/>
      </c>
      <c r="D21" s="162" t="str">
        <f>IF($B21="","",VLOOKUP($B21,'Lista prijave'!$A$11:$F$210,3))</f>
        <v/>
      </c>
      <c r="E21" s="499" t="str">
        <f>IF($B21="","",VLOOKUP($B21,'Lista prijave'!$A$11:$F$210,4))</f>
        <v/>
      </c>
      <c r="F21" s="552"/>
      <c r="G21" s="552"/>
      <c r="H21" s="552"/>
      <c r="I21" s="471"/>
      <c r="J21" s="472"/>
      <c r="L21" s="259" t="s">
        <v>160</v>
      </c>
      <c r="M21" s="19"/>
      <c r="N21" s="19"/>
    </row>
    <row r="22" spans="1:14" ht="20.25" customHeight="1" x14ac:dyDescent="0.2">
      <c r="A22" s="82">
        <v>12</v>
      </c>
      <c r="B22" s="498"/>
      <c r="C22" s="162" t="str">
        <f>UPPER(IF($B22="","",VLOOKUP($B22,'Lista prijave'!$A$11:$F$210,2)))</f>
        <v/>
      </c>
      <c r="D22" s="162" t="str">
        <f>IF($B22="","",VLOOKUP($B22,'Lista prijave'!$A$11:$F$210,3))</f>
        <v/>
      </c>
      <c r="E22" s="499" t="str">
        <f>IF($B22="","",VLOOKUP($B22,'Lista prijave'!$A$11:$F$210,4))</f>
        <v/>
      </c>
      <c r="F22" s="552"/>
      <c r="G22" s="552"/>
      <c r="H22" s="552"/>
      <c r="I22" s="471"/>
      <c r="J22" s="472"/>
      <c r="L22" s="259" t="s">
        <v>161</v>
      </c>
      <c r="M22" s="19"/>
      <c r="N22" s="19"/>
    </row>
    <row r="23" spans="1:14" ht="20.25" customHeight="1" x14ac:dyDescent="0.2">
      <c r="A23" s="82">
        <v>13</v>
      </c>
      <c r="B23" s="498"/>
      <c r="C23" s="162" t="str">
        <f>UPPER(IF($B23="","",VLOOKUP($B23,'Lista prijave'!$A$11:$F$210,2)))</f>
        <v/>
      </c>
      <c r="D23" s="162" t="str">
        <f>IF($B23="","",VLOOKUP($B23,'Lista prijave'!$A$11:$F$210,3))</f>
        <v/>
      </c>
      <c r="E23" s="499" t="str">
        <f>IF($B23="","",VLOOKUP($B23,'Lista prijave'!$A$11:$F$210,4))</f>
        <v/>
      </c>
      <c r="F23" s="552"/>
      <c r="G23" s="552"/>
      <c r="H23" s="552"/>
      <c r="I23" s="471"/>
      <c r="J23" s="472"/>
      <c r="L23" s="259" t="s">
        <v>162</v>
      </c>
      <c r="M23" s="19"/>
      <c r="N23" s="19"/>
    </row>
    <row r="24" spans="1:14" ht="20.25" customHeight="1" x14ac:dyDescent="0.2">
      <c r="A24" s="82">
        <v>14</v>
      </c>
      <c r="B24" s="498"/>
      <c r="C24" s="162" t="str">
        <f>UPPER(IF($B24="","",VLOOKUP($B24,'Lista prijave'!$A$11:$F$210,2)))</f>
        <v/>
      </c>
      <c r="D24" s="162" t="str">
        <f>IF($B24="","",VLOOKUP($B24,'Lista prijave'!$A$11:$F$210,3))</f>
        <v/>
      </c>
      <c r="E24" s="499" t="str">
        <f>IF($B24="","",VLOOKUP($B24,'Lista prijave'!$A$11:$F$210,4))</f>
        <v/>
      </c>
      <c r="F24" s="552"/>
      <c r="G24" s="552"/>
      <c r="H24" s="552"/>
      <c r="I24" s="471"/>
      <c r="J24" s="472"/>
      <c r="L24" s="259" t="s">
        <v>163</v>
      </c>
      <c r="M24" s="19"/>
      <c r="N24" s="19"/>
    </row>
    <row r="25" spans="1:14" ht="20.25" customHeight="1" x14ac:dyDescent="0.2">
      <c r="A25" s="82">
        <v>15</v>
      </c>
      <c r="B25" s="500"/>
      <c r="C25" s="162" t="str">
        <f>UPPER(IF($B25="","",VLOOKUP($B25,'Lista prijave'!$A$11:$F$210,2)))</f>
        <v/>
      </c>
      <c r="D25" s="162" t="str">
        <f>IF($B25="","",VLOOKUP($B25,'Lista prijave'!$A$11:$F$210,3))</f>
        <v/>
      </c>
      <c r="E25" s="499" t="str">
        <f>IF($B25="","",VLOOKUP($B25,'Lista prijave'!$A$11:$F$210,4))</f>
        <v/>
      </c>
      <c r="F25" s="552"/>
      <c r="G25" s="552"/>
      <c r="H25" s="552"/>
      <c r="I25" s="471"/>
      <c r="J25" s="472"/>
      <c r="L25" s="259" t="s">
        <v>164</v>
      </c>
      <c r="M25" s="19"/>
      <c r="N25" s="19"/>
    </row>
    <row r="26" spans="1:14" ht="20.25" customHeight="1" thickBot="1" x14ac:dyDescent="0.25">
      <c r="A26" s="82">
        <v>16</v>
      </c>
      <c r="B26" s="500"/>
      <c r="C26" s="162" t="str">
        <f>UPPER(IF($B26="","",VLOOKUP($B26,'Lista prijave'!$A$11:$F$210,2)))</f>
        <v/>
      </c>
      <c r="D26" s="162" t="str">
        <f>IF($B26="","",VLOOKUP($B26,'Lista prijave'!$A$11:$F$210,3))</f>
        <v/>
      </c>
      <c r="E26" s="499" t="str">
        <f>IF($B26="","",VLOOKUP($B26,'Lista prijave'!$A$11:$F$210,4))</f>
        <v/>
      </c>
      <c r="F26" s="552"/>
      <c r="G26" s="552"/>
      <c r="H26" s="552"/>
      <c r="I26" s="471"/>
      <c r="J26" s="472"/>
      <c r="L26" s="260" t="s">
        <v>165</v>
      </c>
      <c r="M26" s="19"/>
      <c r="N26" s="19"/>
    </row>
    <row r="27" spans="1:14" ht="20.25" customHeight="1" x14ac:dyDescent="0.2">
      <c r="A27" s="82">
        <v>17</v>
      </c>
      <c r="B27" s="500"/>
      <c r="C27" s="162" t="str">
        <f>UPPER(IF($B27="","",VLOOKUP($B27,'Lista prijave'!$A$11:$F$210,2)))</f>
        <v/>
      </c>
      <c r="D27" s="162" t="str">
        <f>IF($B27="","",VLOOKUP($B27,'Lista prijave'!$A$11:$F$210,3))</f>
        <v/>
      </c>
      <c r="E27" s="499" t="str">
        <f>IF($B27="","",VLOOKUP($B27,'Lista prijave'!$A$11:$F$210,4))</f>
        <v/>
      </c>
      <c r="F27" s="552"/>
      <c r="G27" s="552"/>
      <c r="H27" s="552"/>
      <c r="I27" s="471"/>
      <c r="J27" s="472"/>
    </row>
    <row r="28" spans="1:14" ht="20.25" customHeight="1" x14ac:dyDescent="0.2">
      <c r="A28" s="82">
        <v>18</v>
      </c>
      <c r="B28" s="500"/>
      <c r="C28" s="162" t="str">
        <f>UPPER(IF($B28="","",VLOOKUP($B28,'Lista prijave'!$A$11:$F$210,2)))</f>
        <v/>
      </c>
      <c r="D28" s="162" t="str">
        <f>IF($B28="","",VLOOKUP($B28,'Lista prijave'!$A$11:$F$210,3))</f>
        <v/>
      </c>
      <c r="E28" s="499" t="str">
        <f>IF($B28="","",VLOOKUP($B28,'Lista prijave'!$A$11:$F$210,4))</f>
        <v/>
      </c>
      <c r="F28" s="552"/>
      <c r="G28" s="552"/>
      <c r="H28" s="552"/>
      <c r="I28" s="471"/>
      <c r="J28" s="472"/>
    </row>
    <row r="29" spans="1:14" ht="20.25" customHeight="1" x14ac:dyDescent="0.2">
      <c r="A29" s="82">
        <v>19</v>
      </c>
      <c r="B29" s="500"/>
      <c r="C29" s="162" t="str">
        <f>UPPER(IF($B29="","",VLOOKUP($B29,'Lista prijave'!$A$11:$F$210,2)))</f>
        <v/>
      </c>
      <c r="D29" s="162" t="str">
        <f>IF($B29="","",VLOOKUP($B29,'Lista prijave'!$A$11:$F$210,3))</f>
        <v/>
      </c>
      <c r="E29" s="499" t="str">
        <f>IF($B29="","",VLOOKUP($B29,'Lista prijave'!$A$11:$F$210,4))</f>
        <v/>
      </c>
      <c r="F29" s="552"/>
      <c r="G29" s="552"/>
      <c r="H29" s="552"/>
      <c r="I29" s="471"/>
      <c r="J29" s="472"/>
    </row>
    <row r="30" spans="1:14" ht="20.25" customHeight="1" x14ac:dyDescent="0.2">
      <c r="A30" s="82">
        <v>20</v>
      </c>
      <c r="B30" s="500"/>
      <c r="C30" s="162" t="str">
        <f>UPPER(IF($B30="","",VLOOKUP($B30,'Lista prijave'!$A$11:$F$210,2)))</f>
        <v/>
      </c>
      <c r="D30" s="162" t="str">
        <f>IF($B30="","",VLOOKUP($B30,'Lista prijave'!$A$11:$F$210,3))</f>
        <v/>
      </c>
      <c r="E30" s="499" t="str">
        <f>IF($B30="","",VLOOKUP($B30,'Lista prijave'!$A$11:$F$210,4))</f>
        <v/>
      </c>
      <c r="F30" s="552"/>
      <c r="G30" s="552"/>
      <c r="H30" s="552"/>
      <c r="I30" s="471"/>
      <c r="J30" s="472"/>
    </row>
    <row r="31" spans="1:14" ht="20.25" customHeight="1" x14ac:dyDescent="0.2">
      <c r="A31" s="82">
        <v>21</v>
      </c>
      <c r="B31" s="500"/>
      <c r="C31" s="162" t="str">
        <f>UPPER(IF($B31="","",VLOOKUP($B31,'Lista prijave'!$A$11:$F$210,2)))</f>
        <v/>
      </c>
      <c r="D31" s="162" t="str">
        <f>IF($B31="","",VLOOKUP($B31,'Lista prijave'!$A$11:$F$210,3))</f>
        <v/>
      </c>
      <c r="E31" s="499" t="str">
        <f>IF($B31="","",VLOOKUP($B31,'Lista prijave'!$A$11:$F$210,4))</f>
        <v/>
      </c>
      <c r="F31" s="552"/>
      <c r="G31" s="552"/>
      <c r="H31" s="552"/>
      <c r="I31" s="471"/>
      <c r="J31" s="472"/>
    </row>
    <row r="32" spans="1:14" ht="20.25" customHeight="1" x14ac:dyDescent="0.2">
      <c r="A32" s="82">
        <v>22</v>
      </c>
      <c r="B32" s="500"/>
      <c r="C32" s="162" t="str">
        <f>UPPER(IF($B32="","",VLOOKUP($B32,'Lista prijave'!$A$11:$F$210,2)))</f>
        <v/>
      </c>
      <c r="D32" s="162" t="str">
        <f>IF($B32="","",VLOOKUP($B32,'Lista prijave'!$A$11:$F$210,3))</f>
        <v/>
      </c>
      <c r="E32" s="499" t="str">
        <f>IF($B32="","",VLOOKUP($B32,'Lista prijave'!$A$11:$F$210,4))</f>
        <v/>
      </c>
      <c r="F32" s="552"/>
      <c r="G32" s="552"/>
      <c r="H32" s="552"/>
      <c r="I32" s="471"/>
      <c r="J32" s="472"/>
    </row>
    <row r="33" spans="1:10" ht="20.25" customHeight="1" x14ac:dyDescent="0.2">
      <c r="A33" s="82">
        <v>23</v>
      </c>
      <c r="B33" s="500"/>
      <c r="C33" s="162" t="str">
        <f>UPPER(IF($B33="","",VLOOKUP($B33,'Lista prijave'!$A$11:$F$210,2)))</f>
        <v/>
      </c>
      <c r="D33" s="162" t="str">
        <f>IF($B33="","",VLOOKUP($B33,'Lista prijave'!$A$11:$F$210,3))</f>
        <v/>
      </c>
      <c r="E33" s="499" t="str">
        <f>IF($B33="","",VLOOKUP($B33,'Lista prijave'!$A$11:$F$210,4))</f>
        <v/>
      </c>
      <c r="F33" s="552"/>
      <c r="G33" s="552"/>
      <c r="H33" s="552"/>
      <c r="I33" s="471"/>
      <c r="J33" s="472"/>
    </row>
    <row r="34" spans="1:10" ht="20.25" customHeight="1" x14ac:dyDescent="0.2">
      <c r="A34" s="82">
        <v>24</v>
      </c>
      <c r="B34" s="500"/>
      <c r="C34" s="162" t="str">
        <f>UPPER(IF($B34="","",VLOOKUP($B34,'Lista prijave'!$A$11:$F$210,2)))</f>
        <v/>
      </c>
      <c r="D34" s="162" t="str">
        <f>IF($B34="","",VLOOKUP($B34,'Lista prijave'!$A$11:$F$210,3))</f>
        <v/>
      </c>
      <c r="E34" s="499" t="str">
        <f>IF($B34="","",VLOOKUP($B34,'Lista prijave'!$A$11:$F$210,4))</f>
        <v/>
      </c>
      <c r="F34" s="552"/>
      <c r="G34" s="552"/>
      <c r="H34" s="552"/>
      <c r="I34" s="471"/>
      <c r="J34" s="472"/>
    </row>
    <row r="35" spans="1:10" ht="20.25" customHeight="1" x14ac:dyDescent="0.2">
      <c r="A35" s="82">
        <v>25</v>
      </c>
      <c r="B35" s="500"/>
      <c r="C35" s="162" t="str">
        <f>UPPER(IF($B35="","",VLOOKUP($B35,'Lista prijave'!$A$11:$F$210,2)))</f>
        <v/>
      </c>
      <c r="D35" s="162" t="str">
        <f>IF($B35="","",VLOOKUP($B35,'Lista prijave'!$A$11:$F$210,3))</f>
        <v/>
      </c>
      <c r="E35" s="499" t="str">
        <f>IF($B35="","",VLOOKUP($B35,'Lista prijave'!$A$11:$F$210,4))</f>
        <v/>
      </c>
      <c r="F35" s="552"/>
      <c r="G35" s="552"/>
      <c r="H35" s="552"/>
      <c r="I35" s="471"/>
      <c r="J35" s="472"/>
    </row>
    <row r="36" spans="1:10" ht="20.25" customHeight="1" x14ac:dyDescent="0.2">
      <c r="A36" s="82">
        <v>26</v>
      </c>
      <c r="B36" s="500"/>
      <c r="C36" s="162" t="str">
        <f>UPPER(IF($B36="","",VLOOKUP($B36,'Lista prijave'!$A$11:$F$210,2)))</f>
        <v/>
      </c>
      <c r="D36" s="162" t="str">
        <f>IF($B36="","",VLOOKUP($B36,'Lista prijave'!$A$11:$F$210,3))</f>
        <v/>
      </c>
      <c r="E36" s="499" t="str">
        <f>IF($B36="","",VLOOKUP($B36,'Lista prijave'!$A$11:$F$210,4))</f>
        <v/>
      </c>
      <c r="F36" s="552"/>
      <c r="G36" s="552"/>
      <c r="H36" s="552"/>
      <c r="I36" s="471"/>
      <c r="J36" s="472"/>
    </row>
    <row r="37" spans="1:10" ht="20.25" customHeight="1" x14ac:dyDescent="0.2">
      <c r="A37" s="82">
        <v>27</v>
      </c>
      <c r="B37" s="500"/>
      <c r="C37" s="162" t="str">
        <f>UPPER(IF($B37="","",VLOOKUP($B37,'Lista prijave'!$A$11:$F$210,2)))</f>
        <v/>
      </c>
      <c r="D37" s="162" t="str">
        <f>IF($B37="","",VLOOKUP($B37,'Lista prijave'!$A$11:$F$210,3))</f>
        <v/>
      </c>
      <c r="E37" s="499" t="str">
        <f>IF($B37="","",VLOOKUP($B37,'Lista prijave'!$A$11:$F$210,4))</f>
        <v/>
      </c>
      <c r="F37" s="552"/>
      <c r="G37" s="552"/>
      <c r="H37" s="552"/>
      <c r="I37" s="471"/>
      <c r="J37" s="472"/>
    </row>
    <row r="38" spans="1:10" ht="20.25" customHeight="1" x14ac:dyDescent="0.2">
      <c r="A38" s="82">
        <v>28</v>
      </c>
      <c r="B38" s="500"/>
      <c r="C38" s="162" t="str">
        <f>UPPER(IF($B38="","",VLOOKUP($B38,'Lista prijave'!$A$11:$F$210,2)))</f>
        <v/>
      </c>
      <c r="D38" s="162" t="str">
        <f>IF($B38="","",VLOOKUP($B38,'Lista prijave'!$A$11:$F$210,3))</f>
        <v/>
      </c>
      <c r="E38" s="499" t="str">
        <f>IF($B38="","",VLOOKUP($B38,'Lista prijave'!$A$11:$F$210,4))</f>
        <v/>
      </c>
      <c r="F38" s="552"/>
      <c r="G38" s="552"/>
      <c r="H38" s="552"/>
      <c r="I38" s="471"/>
      <c r="J38" s="472"/>
    </row>
    <row r="39" spans="1:10" ht="20.25" customHeight="1" x14ac:dyDescent="0.2">
      <c r="A39" s="82">
        <v>29</v>
      </c>
      <c r="B39" s="500"/>
      <c r="C39" s="162" t="str">
        <f>UPPER(IF($B39="","",VLOOKUP($B39,'Lista prijave'!$A$11:$F$210,2)))</f>
        <v/>
      </c>
      <c r="D39" s="162" t="str">
        <f>IF($B39="","",VLOOKUP($B39,'Lista prijave'!$A$11:$F$210,3))</f>
        <v/>
      </c>
      <c r="E39" s="499" t="str">
        <f>IF($B39="","",VLOOKUP($B39,'Lista prijave'!$A$11:$F$210,4))</f>
        <v/>
      </c>
      <c r="F39" s="552"/>
      <c r="G39" s="552"/>
      <c r="H39" s="552"/>
      <c r="I39" s="471"/>
      <c r="J39" s="472"/>
    </row>
    <row r="40" spans="1:10" ht="20.25" customHeight="1" x14ac:dyDescent="0.2">
      <c r="A40" s="82">
        <v>30</v>
      </c>
      <c r="B40" s="500"/>
      <c r="C40" s="162" t="str">
        <f>UPPER(IF($B40="","",VLOOKUP($B40,'Lista prijave'!$A$11:$F$210,2)))</f>
        <v/>
      </c>
      <c r="D40" s="162" t="str">
        <f>IF($B40="","",VLOOKUP($B40,'Lista prijave'!$A$11:$F$210,3))</f>
        <v/>
      </c>
      <c r="E40" s="499" t="str">
        <f>IF($B40="","",VLOOKUP($B40,'Lista prijave'!$A$11:$F$210,4))</f>
        <v/>
      </c>
      <c r="F40" s="552"/>
      <c r="G40" s="552"/>
      <c r="H40" s="552"/>
      <c r="I40" s="471"/>
      <c r="J40" s="472"/>
    </row>
    <row r="41" spans="1:10" x14ac:dyDescent="0.2">
      <c r="C41" s="119"/>
      <c r="D41" s="119"/>
      <c r="E41" s="23"/>
      <c r="F41" s="23"/>
      <c r="I41" s="251"/>
      <c r="J41" s="23"/>
    </row>
    <row r="42" spans="1:10" x14ac:dyDescent="0.2">
      <c r="A42" s="254"/>
      <c r="B42" s="173"/>
      <c r="C42" s="250"/>
      <c r="D42" s="250"/>
      <c r="E42" s="147"/>
      <c r="F42" s="440" t="s">
        <v>17</v>
      </c>
      <c r="G42" s="439"/>
      <c r="H42" s="48" t="s">
        <v>20</v>
      </c>
      <c r="I42" s="203"/>
      <c r="J42" s="441"/>
    </row>
    <row r="43" spans="1:10" ht="26.25" customHeight="1" thickBot="1" x14ac:dyDescent="0.25">
      <c r="A43" s="79"/>
      <c r="B43" s="219"/>
      <c r="C43" s="252"/>
      <c r="D43" s="252"/>
      <c r="E43" s="253"/>
      <c r="F43" s="553" t="s">
        <v>341</v>
      </c>
      <c r="G43" s="554"/>
      <c r="H43" s="269" t="str">
        <f>Pocetna!$F$12</f>
        <v>Mladen Šančić</v>
      </c>
      <c r="I43" s="219"/>
      <c r="J43" s="80"/>
    </row>
    <row r="44" spans="1:10" x14ac:dyDescent="0.2">
      <c r="A44" s="149"/>
      <c r="B44" s="149"/>
      <c r="C44" s="29"/>
      <c r="D44" s="29"/>
      <c r="E44" s="190"/>
      <c r="F44" s="190"/>
      <c r="G44" s="149"/>
      <c r="H44" s="149"/>
    </row>
    <row r="45" spans="1:10" x14ac:dyDescent="0.2">
      <c r="C45" s="119"/>
      <c r="D45" s="119"/>
      <c r="E45" s="23"/>
      <c r="F45" s="23"/>
      <c r="G45" s="23"/>
      <c r="H45" s="23"/>
    </row>
    <row r="46" spans="1:10" x14ac:dyDescent="0.2">
      <c r="C46" s="119"/>
      <c r="D46" s="119"/>
      <c r="E46" s="23"/>
      <c r="F46" s="23"/>
      <c r="G46" s="23"/>
      <c r="H46" s="23"/>
    </row>
    <row r="47" spans="1:10" x14ac:dyDescent="0.2">
      <c r="C47" s="119"/>
      <c r="D47" s="119"/>
      <c r="E47" s="23"/>
      <c r="F47" s="23"/>
      <c r="G47" s="23"/>
      <c r="H47" s="23"/>
    </row>
    <row r="48" spans="1:10" x14ac:dyDescent="0.2">
      <c r="C48" s="119"/>
      <c r="D48" s="119"/>
      <c r="E48" s="23"/>
      <c r="F48" s="23"/>
      <c r="G48" s="23"/>
      <c r="H48" s="23"/>
    </row>
    <row r="49" spans="3:8" x14ac:dyDescent="0.2">
      <c r="C49" s="119"/>
      <c r="D49" s="119"/>
      <c r="E49" s="23"/>
      <c r="F49" s="23"/>
      <c r="G49" s="23"/>
      <c r="H49" s="23"/>
    </row>
    <row r="50" spans="3:8" x14ac:dyDescent="0.2">
      <c r="C50" s="119"/>
      <c r="D50" s="119"/>
      <c r="E50" s="23"/>
      <c r="F50" s="23"/>
      <c r="G50" s="23"/>
      <c r="H50" s="23"/>
    </row>
    <row r="51" spans="3:8" x14ac:dyDescent="0.2">
      <c r="C51" s="119"/>
      <c r="D51" s="119"/>
      <c r="E51" s="23"/>
      <c r="F51" s="23"/>
      <c r="G51" s="23"/>
      <c r="H51" s="23"/>
    </row>
    <row r="52" spans="3:8" x14ac:dyDescent="0.2">
      <c r="C52" s="119"/>
      <c r="D52" s="119"/>
      <c r="E52" s="23"/>
      <c r="F52" s="23"/>
      <c r="G52" s="23"/>
      <c r="H52" s="23"/>
    </row>
    <row r="53" spans="3:8" x14ac:dyDescent="0.2">
      <c r="C53" s="119"/>
      <c r="D53" s="119"/>
      <c r="E53" s="23"/>
      <c r="F53" s="23"/>
      <c r="G53" s="23"/>
      <c r="H53" s="23"/>
    </row>
    <row r="54" spans="3:8" x14ac:dyDescent="0.2">
      <c r="C54" s="119"/>
      <c r="D54" s="119"/>
      <c r="E54" s="23"/>
      <c r="F54" s="23"/>
      <c r="G54" s="23"/>
      <c r="H54" s="23"/>
    </row>
    <row r="55" spans="3:8" x14ac:dyDescent="0.2">
      <c r="C55" s="119"/>
      <c r="D55" s="119"/>
      <c r="E55" s="23"/>
      <c r="F55" s="23"/>
      <c r="G55" s="23"/>
      <c r="H55" s="23"/>
    </row>
    <row r="56" spans="3:8" x14ac:dyDescent="0.2">
      <c r="C56" s="119"/>
      <c r="D56" s="119"/>
      <c r="E56" s="23"/>
      <c r="F56" s="23"/>
      <c r="G56" s="23"/>
      <c r="H56" s="23"/>
    </row>
    <row r="57" spans="3:8" x14ac:dyDescent="0.2">
      <c r="C57" s="119"/>
      <c r="D57" s="119"/>
      <c r="E57" s="23"/>
      <c r="F57" s="23"/>
      <c r="G57" s="23"/>
      <c r="H57" s="23"/>
    </row>
    <row r="58" spans="3:8" x14ac:dyDescent="0.2">
      <c r="C58" s="119"/>
      <c r="D58" s="119"/>
      <c r="E58" s="23"/>
      <c r="F58" s="23"/>
      <c r="G58" s="23"/>
      <c r="H58" s="23"/>
    </row>
    <row r="59" spans="3:8" x14ac:dyDescent="0.2">
      <c r="C59" s="119"/>
      <c r="D59" s="119"/>
      <c r="E59" s="23"/>
      <c r="F59" s="23"/>
      <c r="G59" s="23"/>
      <c r="H59" s="23"/>
    </row>
    <row r="60" spans="3:8" x14ac:dyDescent="0.2">
      <c r="C60" s="119"/>
      <c r="D60" s="119"/>
      <c r="E60" s="23"/>
      <c r="F60" s="23"/>
      <c r="G60" s="23"/>
      <c r="H60" s="23"/>
    </row>
    <row r="61" spans="3:8" x14ac:dyDescent="0.2">
      <c r="C61" s="119"/>
      <c r="D61" s="119"/>
      <c r="E61" s="23"/>
      <c r="F61" s="23"/>
      <c r="G61" s="23"/>
      <c r="H61" s="23"/>
    </row>
    <row r="62" spans="3:8" x14ac:dyDescent="0.2">
      <c r="C62" s="119"/>
      <c r="D62" s="119"/>
      <c r="E62" s="23"/>
      <c r="F62" s="23"/>
      <c r="G62" s="23"/>
      <c r="H62" s="23"/>
    </row>
    <row r="63" spans="3:8" x14ac:dyDescent="0.2">
      <c r="C63" s="119"/>
      <c r="D63" s="119"/>
      <c r="E63" s="23"/>
      <c r="F63" s="23"/>
      <c r="G63" s="23"/>
      <c r="H63" s="23"/>
    </row>
    <row r="64" spans="3:8" x14ac:dyDescent="0.2">
      <c r="C64" s="119"/>
      <c r="D64" s="119"/>
      <c r="E64" s="23"/>
      <c r="F64" s="23"/>
      <c r="G64" s="23"/>
      <c r="H64" s="23"/>
    </row>
    <row r="65" spans="3:8" x14ac:dyDescent="0.2">
      <c r="C65" s="119"/>
      <c r="D65" s="119"/>
      <c r="E65" s="23"/>
      <c r="F65" s="23"/>
      <c r="G65" s="23"/>
      <c r="H65" s="23"/>
    </row>
    <row r="66" spans="3:8" x14ac:dyDescent="0.2">
      <c r="C66" s="119"/>
      <c r="D66" s="119"/>
      <c r="E66" s="23"/>
      <c r="F66" s="23"/>
      <c r="G66" s="23"/>
      <c r="H66" s="23"/>
    </row>
    <row r="67" spans="3:8" x14ac:dyDescent="0.2">
      <c r="C67" s="119"/>
      <c r="D67" s="119"/>
      <c r="E67" s="23"/>
      <c r="F67" s="23"/>
      <c r="G67" s="23"/>
      <c r="H67" s="23"/>
    </row>
    <row r="68" spans="3:8" x14ac:dyDescent="0.2">
      <c r="C68" s="119"/>
      <c r="D68" s="119"/>
      <c r="E68" s="23"/>
      <c r="F68" s="23"/>
      <c r="G68" s="23"/>
      <c r="H68" s="23"/>
    </row>
    <row r="69" spans="3:8" x14ac:dyDescent="0.2">
      <c r="C69" s="119"/>
      <c r="D69" s="119"/>
      <c r="E69" s="23"/>
      <c r="F69" s="23"/>
      <c r="G69" s="23"/>
      <c r="H69" s="23"/>
    </row>
    <row r="70" spans="3:8" x14ac:dyDescent="0.2">
      <c r="C70" s="119"/>
      <c r="D70" s="119"/>
      <c r="E70" s="23"/>
      <c r="F70" s="23"/>
      <c r="G70" s="23"/>
      <c r="H70" s="23"/>
    </row>
    <row r="71" spans="3:8" x14ac:dyDescent="0.2">
      <c r="C71" s="119"/>
      <c r="D71" s="119"/>
      <c r="E71" s="23"/>
      <c r="F71" s="23"/>
      <c r="G71" s="23"/>
      <c r="H71" s="23"/>
    </row>
    <row r="72" spans="3:8" x14ac:dyDescent="0.2">
      <c r="C72" s="119"/>
      <c r="D72" s="119"/>
      <c r="E72" s="23"/>
      <c r="F72" s="23"/>
      <c r="G72" s="23"/>
      <c r="H72" s="23"/>
    </row>
    <row r="73" spans="3:8" x14ac:dyDescent="0.2">
      <c r="C73" s="119"/>
      <c r="D73" s="119"/>
      <c r="E73" s="23"/>
      <c r="F73" s="23"/>
      <c r="G73" s="23"/>
      <c r="H73" s="23"/>
    </row>
    <row r="74" spans="3:8" x14ac:dyDescent="0.2">
      <c r="C74" s="119"/>
      <c r="D74" s="119"/>
      <c r="E74" s="23"/>
      <c r="F74" s="23"/>
      <c r="G74" s="23"/>
      <c r="H74" s="23"/>
    </row>
    <row r="75" spans="3:8" x14ac:dyDescent="0.2">
      <c r="C75" s="119"/>
      <c r="D75" s="119"/>
      <c r="E75" s="23"/>
      <c r="F75" s="23"/>
      <c r="G75" s="23"/>
      <c r="H75" s="23"/>
    </row>
    <row r="76" spans="3:8" x14ac:dyDescent="0.2">
      <c r="C76" s="119"/>
      <c r="D76" s="119"/>
      <c r="E76" s="23"/>
      <c r="F76" s="23"/>
      <c r="G76" s="23"/>
      <c r="H76" s="23"/>
    </row>
    <row r="77" spans="3:8" x14ac:dyDescent="0.2">
      <c r="C77" s="119"/>
      <c r="D77" s="119"/>
      <c r="E77" s="23"/>
      <c r="F77" s="23"/>
      <c r="G77" s="23"/>
      <c r="H77" s="23"/>
    </row>
    <row r="78" spans="3:8" x14ac:dyDescent="0.2">
      <c r="C78" s="119"/>
      <c r="D78" s="119"/>
      <c r="E78" s="23"/>
      <c r="F78" s="23"/>
      <c r="G78" s="23"/>
      <c r="H78" s="23"/>
    </row>
  </sheetData>
  <sheetProtection password="CC5C" sheet="1" objects="1" scenarios="1" sort="0" autoFilter="0"/>
  <mergeCells count="33">
    <mergeCell ref="F19:H19"/>
    <mergeCell ref="F20:H20"/>
    <mergeCell ref="F21:H21"/>
    <mergeCell ref="F10:H10"/>
    <mergeCell ref="F11:H11"/>
    <mergeCell ref="F12:H12"/>
    <mergeCell ref="F13:H13"/>
    <mergeCell ref="F14:H14"/>
    <mergeCell ref="F30:H30"/>
    <mergeCell ref="F31:H31"/>
    <mergeCell ref="F32:H32"/>
    <mergeCell ref="B10:C10"/>
    <mergeCell ref="F26:H26"/>
    <mergeCell ref="F27:H27"/>
    <mergeCell ref="F28:H28"/>
    <mergeCell ref="F29:H29"/>
    <mergeCell ref="F22:H22"/>
    <mergeCell ref="F23:H23"/>
    <mergeCell ref="F15:H15"/>
    <mergeCell ref="F16:H16"/>
    <mergeCell ref="F17:H17"/>
    <mergeCell ref="F24:H24"/>
    <mergeCell ref="F25:H25"/>
    <mergeCell ref="F18:H18"/>
    <mergeCell ref="F33:H33"/>
    <mergeCell ref="F34:H34"/>
    <mergeCell ref="F35:H35"/>
    <mergeCell ref="F36:H36"/>
    <mergeCell ref="F43:G43"/>
    <mergeCell ref="F37:H37"/>
    <mergeCell ref="F38:H38"/>
    <mergeCell ref="F39:H39"/>
    <mergeCell ref="F40:H40"/>
  </mergeCells>
  <phoneticPr fontId="0" type="noConversion"/>
  <conditionalFormatting sqref="F43:G43">
    <cfRule type="expression" dxfId="63" priority="1" stopIfTrue="1">
      <formula>F43="dd.mm.gggg."</formula>
    </cfRule>
    <cfRule type="expression" dxfId="62" priority="2" stopIfTrue="1">
      <formula>F43=""</formula>
    </cfRule>
  </conditionalFormatting>
  <dataValidations count="3">
    <dataValidation type="list" errorStyle="information" allowBlank="1" showInputMessage="1" showErrorMessage="1" error="Odaberi iz popisa ponuđenog !!!" promptTitle="Prekršaj pravila" prompt="Odaberi" sqref="F11:H40">
      <formula1>$L$12:$L$26</formula1>
    </dataValidation>
    <dataValidation type="list" errorStyle="information" allowBlank="1" showInputMessage="1" showErrorMessage="1" error="Odaberi s popisa ponuđenog !!!" promptTitle="Kazna" prompt="Odaberi" sqref="I11:I40">
      <formula1>$M$12:$M$15</formula1>
    </dataValidation>
    <dataValidation type="list" errorStyle="information" allowBlank="1" showInputMessage="1" showErrorMessage="1" error="Odaberi s popisa ponuđenog !!!" promptTitle="Kazneni bodovi" prompt="Odaberi" sqref="J11:J40">
      <formula1>$N$12:$N$15</formula1>
    </dataValidation>
  </dataValidations>
  <printOptions horizontalCentered="1"/>
  <pageMargins left="0.19685039370078741" right="0.19685039370078741" top="0.19685039370078741" bottom="0.39370078740157483" header="0.51181102362204722" footer="0.51181102362204722"/>
  <pageSetup paperSize="9" orientation="portrait" horizontalDpi="1200" verticalDpi="12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102" enableFormatConditionsCalculation="0">
    <tabColor indexed="13"/>
  </sheetPr>
  <dimension ref="A1:V114"/>
  <sheetViews>
    <sheetView showGridLines="0" showRowColHeaders="0" showZeros="0" view="pageBreakPreview" zoomScaleNormal="100" workbookViewId="0">
      <selection activeCell="E14" sqref="E14"/>
    </sheetView>
  </sheetViews>
  <sheetFormatPr defaultRowHeight="12.75" x14ac:dyDescent="0.2"/>
  <cols>
    <col min="1" max="8" width="12.140625" style="282" customWidth="1"/>
    <col min="9" max="9" width="9.140625" style="282"/>
    <col min="10" max="19" width="0" style="282" hidden="1" customWidth="1"/>
    <col min="20" max="20" width="9.140625" style="423"/>
    <col min="21" max="21" width="0" style="423" hidden="1" customWidth="1"/>
    <col min="22" max="22" width="9.140625" style="423"/>
    <col min="23" max="16384" width="9.140625" style="282"/>
  </cols>
  <sheetData>
    <row r="1" spans="1:22" s="14" customFormat="1" ht="22.5" x14ac:dyDescent="0.3">
      <c r="A1" s="11" t="str">
        <f>Pocetna!$B$7</f>
        <v xml:space="preserve">OP SAMOBORA </v>
      </c>
      <c r="B1" s="12"/>
      <c r="C1" s="12"/>
      <c r="D1" s="12"/>
      <c r="E1" s="12"/>
      <c r="F1" s="13"/>
      <c r="G1" s="13"/>
      <c r="H1" s="272"/>
      <c r="T1" s="424"/>
      <c r="U1" s="430" t="s">
        <v>77</v>
      </c>
      <c r="V1" s="424"/>
    </row>
    <row r="2" spans="1:22" s="14" customFormat="1" ht="15" x14ac:dyDescent="0.2">
      <c r="A2" s="39" t="str">
        <f>Pocetna!$C$10</f>
        <v>djevojčice i dječaci do 12 god.</v>
      </c>
      <c r="B2" s="39"/>
      <c r="C2" s="39"/>
      <c r="D2" s="39"/>
      <c r="E2" s="39"/>
      <c r="F2" s="13"/>
      <c r="G2" s="13"/>
      <c r="H2" s="272"/>
      <c r="T2" s="424"/>
      <c r="U2" s="431"/>
    </row>
    <row r="3" spans="1:22" s="14" customFormat="1" ht="3.75" customHeight="1" x14ac:dyDescent="0.2">
      <c r="A3" s="39"/>
      <c r="B3" s="39"/>
      <c r="C3" s="39"/>
      <c r="D3" s="39"/>
      <c r="E3" s="39"/>
      <c r="F3" s="13"/>
      <c r="G3" s="13"/>
      <c r="H3" s="272"/>
      <c r="T3" s="424"/>
      <c r="U3" s="432" t="str">
        <f>$C$76</f>
        <v>gs 1</v>
      </c>
    </row>
    <row r="4" spans="1:22" s="14" customFormat="1" ht="27" customHeight="1" x14ac:dyDescent="0.2">
      <c r="B4" s="279"/>
      <c r="C4" s="279"/>
      <c r="D4" s="279" t="s">
        <v>174</v>
      </c>
      <c r="F4" s="279"/>
      <c r="G4" s="279"/>
      <c r="H4" s="279"/>
      <c r="T4" s="424"/>
      <c r="U4" s="432" t="str">
        <f>$C$78</f>
        <v>gs 2</v>
      </c>
    </row>
    <row r="5" spans="1:22" s="14" customFormat="1" ht="3.75" customHeight="1" x14ac:dyDescent="0.2">
      <c r="B5" s="279"/>
      <c r="C5" s="279"/>
      <c r="D5" s="279"/>
      <c r="F5" s="279"/>
      <c r="G5" s="279"/>
      <c r="H5" s="279"/>
      <c r="T5" s="424"/>
      <c r="U5" s="432" t="str">
        <f>$C$80</f>
        <v>gs 3</v>
      </c>
    </row>
    <row r="6" spans="1:22" s="14" customFormat="1" ht="13.5" customHeight="1" x14ac:dyDescent="0.2">
      <c r="A6" s="40" t="str">
        <f>Pocetna!$B$11</f>
        <v>Datum turnira</v>
      </c>
      <c r="B6" s="40"/>
      <c r="C6" s="40" t="str">
        <f>Pocetna!$D$11</f>
        <v>Organizator</v>
      </c>
      <c r="E6" s="40" t="str">
        <f>Pocetna!$E$11</f>
        <v>Mjesto</v>
      </c>
      <c r="H6" s="41" t="str">
        <f>Pocetna!$F$11</f>
        <v>Vrhovni sudac</v>
      </c>
      <c r="T6" s="424"/>
      <c r="U6" s="432" t="str">
        <f>$C$82</f>
        <v>gs 4</v>
      </c>
    </row>
    <row r="7" spans="1:22" s="14" customFormat="1" ht="13.5" customHeight="1" x14ac:dyDescent="0.2">
      <c r="A7" s="42" t="str">
        <f>Pocetna!$B$12</f>
        <v>(22.)24.-26.04.2016.</v>
      </c>
      <c r="B7" s="42"/>
      <c r="C7" s="42" t="str">
        <f>Pocetna!$D$12</f>
        <v>TK Samobor1890</v>
      </c>
      <c r="E7" s="42" t="str">
        <f>Pocetna!$E$12</f>
        <v>Samobor</v>
      </c>
      <c r="H7" s="37" t="str">
        <f>Pocetna!$F$12</f>
        <v>Mladen Šančić</v>
      </c>
      <c r="T7" s="424"/>
      <c r="U7" s="432" t="str">
        <f>$C$84</f>
        <v>gs 5</v>
      </c>
    </row>
    <row r="8" spans="1:22" s="14" customFormat="1" ht="13.5" customHeight="1" x14ac:dyDescent="0.2">
      <c r="A8" s="40" t="str">
        <f>Pocetna!$C$11</f>
        <v>ID turnira</v>
      </c>
      <c r="B8" s="40"/>
      <c r="C8" s="40" t="str">
        <f>Pocetna!$B$15</f>
        <v>Rang turnira</v>
      </c>
      <c r="G8" s="149"/>
      <c r="T8" s="424"/>
      <c r="U8" s="432" t="str">
        <f>$C$86</f>
        <v>gs 6</v>
      </c>
    </row>
    <row r="9" spans="1:22" s="14" customFormat="1" ht="13.5" customHeight="1" thickBot="1" x14ac:dyDescent="0.25">
      <c r="A9" s="215" t="str">
        <f>Pocetna!$C$12</f>
        <v>R12_20160422_SAM</v>
      </c>
      <c r="B9" s="216"/>
      <c r="C9" s="215" t="str">
        <f>Pocetna!$B$16</f>
        <v>4. rang</v>
      </c>
      <c r="D9" s="219"/>
      <c r="E9" s="219"/>
      <c r="F9" s="219"/>
      <c r="G9" s="219"/>
      <c r="H9" s="219"/>
      <c r="T9" s="424"/>
      <c r="U9" s="432" t="str">
        <f>$C$88</f>
        <v>gs 7</v>
      </c>
    </row>
    <row r="10" spans="1:22" ht="13.5" thickBot="1" x14ac:dyDescent="0.25">
      <c r="H10" s="175" t="s">
        <v>110</v>
      </c>
      <c r="U10" s="432" t="str">
        <f>$C$90</f>
        <v>gs 8</v>
      </c>
      <c r="V10" s="282"/>
    </row>
    <row r="11" spans="1:22" ht="22.5" customHeight="1" thickBot="1" x14ac:dyDescent="0.25">
      <c r="A11" s="283" t="s">
        <v>175</v>
      </c>
      <c r="B11" s="284"/>
      <c r="C11" s="285"/>
      <c r="D11" s="286"/>
      <c r="E11" s="286"/>
      <c r="F11" s="286"/>
      <c r="G11" s="286"/>
      <c r="H11" s="287"/>
      <c r="U11" s="432" t="str">
        <f>$C$92</f>
        <v>gs 9</v>
      </c>
      <c r="V11" s="282"/>
    </row>
    <row r="12" spans="1:22" ht="6.75" customHeight="1" thickBot="1" x14ac:dyDescent="0.25">
      <c r="U12" s="432" t="str">
        <f>$C$94</f>
        <v>gs 10</v>
      </c>
      <c r="V12" s="282"/>
    </row>
    <row r="13" spans="1:22" x14ac:dyDescent="0.2">
      <c r="A13" s="288" t="s">
        <v>176</v>
      </c>
      <c r="B13" s="289"/>
      <c r="C13" s="290"/>
      <c r="D13" s="290"/>
      <c r="E13" s="290"/>
      <c r="F13" s="290"/>
      <c r="G13" s="290"/>
      <c r="H13" s="291"/>
      <c r="U13" s="432" t="str">
        <f>$C$96</f>
        <v>gs 11</v>
      </c>
      <c r="V13" s="282"/>
    </row>
    <row r="14" spans="1:22" x14ac:dyDescent="0.2">
      <c r="A14" s="292" t="s">
        <v>296</v>
      </c>
      <c r="B14" s="293"/>
      <c r="C14" s="294" t="s">
        <v>177</v>
      </c>
      <c r="D14" s="295"/>
      <c r="E14" s="296"/>
      <c r="F14" s="305" t="s">
        <v>62</v>
      </c>
      <c r="G14" s="434"/>
      <c r="H14" s="306"/>
      <c r="U14" s="432" t="str">
        <f>$C$98</f>
        <v>gs 12</v>
      </c>
      <c r="V14" s="282"/>
    </row>
    <row r="15" spans="1:22" x14ac:dyDescent="0.2">
      <c r="A15" s="298"/>
      <c r="B15" s="299"/>
      <c r="C15" s="515" t="str">
        <f>Pocetna!$B$7</f>
        <v xml:space="preserve">OP SAMOBORA </v>
      </c>
      <c r="D15" s="300"/>
      <c r="E15" s="300"/>
      <c r="F15" s="516" t="str">
        <f>Pocetna!$C$10</f>
        <v>djevojčice i dječaci do 12 god.</v>
      </c>
      <c r="G15" s="435"/>
      <c r="H15" s="309"/>
      <c r="U15" s="432" t="str">
        <f>$C$100</f>
        <v>gs 13</v>
      </c>
      <c r="V15" s="282"/>
    </row>
    <row r="16" spans="1:22" x14ac:dyDescent="0.2">
      <c r="A16" s="301" t="s">
        <v>197</v>
      </c>
      <c r="B16" s="294"/>
      <c r="C16" s="302" t="s">
        <v>184</v>
      </c>
      <c r="D16" s="295"/>
      <c r="E16" s="317"/>
      <c r="F16" s="304" t="s">
        <v>3</v>
      </c>
      <c r="G16" s="303"/>
      <c r="H16" s="436" t="s">
        <v>4</v>
      </c>
      <c r="U16" s="432" t="str">
        <f>$C$102</f>
        <v>gs 14</v>
      </c>
      <c r="V16" s="282"/>
    </row>
    <row r="17" spans="1:21" ht="13.5" thickBot="1" x14ac:dyDescent="0.25">
      <c r="A17" s="298"/>
      <c r="B17" s="307"/>
      <c r="C17" s="517" t="s">
        <v>333</v>
      </c>
      <c r="D17" s="385"/>
      <c r="E17" s="380"/>
      <c r="F17" s="516" t="str">
        <f>Pocetna!$C$12</f>
        <v>R12_20160422_SAM</v>
      </c>
      <c r="G17" s="308"/>
      <c r="H17" s="502" t="str">
        <f>Pocetna!$B$16</f>
        <v>4. rang</v>
      </c>
      <c r="U17" s="433" t="str">
        <f>$C$104</f>
        <v>gs 15</v>
      </c>
    </row>
    <row r="18" spans="1:21" x14ac:dyDescent="0.2">
      <c r="A18" s="310" t="s">
        <v>198</v>
      </c>
      <c r="B18" s="293"/>
      <c r="C18" s="560" t="s">
        <v>178</v>
      </c>
      <c r="D18" s="312" t="s">
        <v>179</v>
      </c>
      <c r="E18" s="312" t="s">
        <v>180</v>
      </c>
      <c r="F18" s="560" t="s">
        <v>181</v>
      </c>
      <c r="G18" s="312" t="s">
        <v>179</v>
      </c>
      <c r="H18" s="313" t="s">
        <v>180</v>
      </c>
    </row>
    <row r="19" spans="1:21" x14ac:dyDescent="0.2">
      <c r="A19" s="314"/>
      <c r="B19" s="315"/>
      <c r="C19" s="561"/>
      <c r="D19" s="513" t="s">
        <v>596</v>
      </c>
      <c r="E19" s="513" t="s">
        <v>597</v>
      </c>
      <c r="F19" s="560"/>
      <c r="G19" s="513">
        <v>42484</v>
      </c>
      <c r="H19" s="514" t="s">
        <v>341</v>
      </c>
    </row>
    <row r="20" spans="1:21" x14ac:dyDescent="0.2">
      <c r="A20" s="316" t="s">
        <v>199</v>
      </c>
      <c r="B20" s="295"/>
      <c r="C20" s="336"/>
      <c r="D20" s="302" t="s">
        <v>182</v>
      </c>
      <c r="E20" s="317"/>
      <c r="F20" s="302" t="s">
        <v>183</v>
      </c>
      <c r="G20" s="303"/>
      <c r="H20" s="318"/>
    </row>
    <row r="21" spans="1:21" ht="13.5" thickBot="1" x14ac:dyDescent="0.25">
      <c r="A21" s="330"/>
      <c r="B21" s="437"/>
      <c r="C21" s="339"/>
      <c r="D21" s="562">
        <v>120</v>
      </c>
      <c r="E21" s="563"/>
      <c r="F21" s="562" t="s">
        <v>99</v>
      </c>
      <c r="G21" s="563"/>
      <c r="H21" s="438"/>
    </row>
    <row r="22" spans="1:21" x14ac:dyDescent="0.2">
      <c r="A22" s="320" t="s">
        <v>200</v>
      </c>
      <c r="B22" s="321"/>
      <c r="C22" s="322"/>
      <c r="D22" s="323"/>
      <c r="E22" s="323"/>
      <c r="F22" s="323"/>
      <c r="G22" s="324"/>
      <c r="H22" s="325"/>
    </row>
    <row r="23" spans="1:21" x14ac:dyDescent="0.2">
      <c r="A23" s="326" t="s">
        <v>195</v>
      </c>
      <c r="B23" s="293"/>
      <c r="C23" s="293" t="s">
        <v>187</v>
      </c>
      <c r="D23" s="293"/>
      <c r="E23" s="312" t="s">
        <v>188</v>
      </c>
      <c r="F23" s="293" t="s">
        <v>189</v>
      </c>
      <c r="G23" s="293" t="s">
        <v>190</v>
      </c>
      <c r="H23" s="297" t="s">
        <v>191</v>
      </c>
    </row>
    <row r="24" spans="1:21" x14ac:dyDescent="0.2">
      <c r="A24" s="316"/>
      <c r="B24" s="327" t="s">
        <v>185</v>
      </c>
      <c r="C24" s="503">
        <v>32</v>
      </c>
      <c r="D24" s="350"/>
      <c r="E24" s="503" t="s">
        <v>551</v>
      </c>
      <c r="F24" s="503" t="s">
        <v>552</v>
      </c>
      <c r="G24" s="503" t="s">
        <v>484</v>
      </c>
      <c r="H24" s="504"/>
    </row>
    <row r="25" spans="1:21" x14ac:dyDescent="0.2">
      <c r="A25" s="316"/>
      <c r="B25" s="327" t="s">
        <v>186</v>
      </c>
      <c r="C25" s="503">
        <v>32</v>
      </c>
      <c r="D25" s="350"/>
      <c r="E25" s="503" t="s">
        <v>559</v>
      </c>
      <c r="F25" s="503" t="s">
        <v>552</v>
      </c>
      <c r="G25" s="503" t="s">
        <v>484</v>
      </c>
      <c r="H25" s="504"/>
    </row>
    <row r="26" spans="1:21" x14ac:dyDescent="0.2">
      <c r="A26" s="316" t="s">
        <v>196</v>
      </c>
      <c r="B26" s="293"/>
      <c r="C26" s="293" t="s">
        <v>187</v>
      </c>
      <c r="D26" s="293" t="s">
        <v>192</v>
      </c>
      <c r="E26" s="312" t="s">
        <v>188</v>
      </c>
      <c r="F26" s="293" t="s">
        <v>189</v>
      </c>
      <c r="G26" s="293" t="s">
        <v>190</v>
      </c>
      <c r="H26" s="297" t="s">
        <v>191</v>
      </c>
    </row>
    <row r="27" spans="1:21" x14ac:dyDescent="0.2">
      <c r="A27" s="316"/>
      <c r="B27" s="327" t="s">
        <v>185</v>
      </c>
      <c r="C27" s="503" t="s">
        <v>334</v>
      </c>
      <c r="D27" s="503" t="s">
        <v>543</v>
      </c>
      <c r="E27" s="503" t="s">
        <v>545</v>
      </c>
      <c r="F27" s="503" t="s">
        <v>543</v>
      </c>
      <c r="G27" s="503" t="s">
        <v>484</v>
      </c>
      <c r="H27" s="504"/>
    </row>
    <row r="28" spans="1:21" x14ac:dyDescent="0.2">
      <c r="A28" s="314"/>
      <c r="B28" s="327" t="s">
        <v>186</v>
      </c>
      <c r="C28" s="503" t="s">
        <v>334</v>
      </c>
      <c r="D28" s="503" t="s">
        <v>544</v>
      </c>
      <c r="E28" s="503" t="s">
        <v>546</v>
      </c>
      <c r="F28" s="503" t="s">
        <v>547</v>
      </c>
      <c r="G28" s="503" t="s">
        <v>484</v>
      </c>
      <c r="H28" s="504" t="s">
        <v>115</v>
      </c>
    </row>
    <row r="29" spans="1:21" x14ac:dyDescent="0.2">
      <c r="A29" s="316" t="s">
        <v>201</v>
      </c>
      <c r="B29" s="293"/>
      <c r="C29" s="293" t="s">
        <v>187</v>
      </c>
      <c r="D29" s="293" t="s">
        <v>193</v>
      </c>
      <c r="E29" s="312" t="s">
        <v>188</v>
      </c>
      <c r="F29" s="293" t="s">
        <v>189</v>
      </c>
      <c r="G29" s="293" t="s">
        <v>190</v>
      </c>
      <c r="H29" s="297" t="s">
        <v>191</v>
      </c>
    </row>
    <row r="30" spans="1:21" x14ac:dyDescent="0.2">
      <c r="A30" s="316"/>
      <c r="B30" s="327" t="s">
        <v>185</v>
      </c>
      <c r="C30" s="503" t="s">
        <v>311</v>
      </c>
      <c r="D30" s="503" t="s">
        <v>592</v>
      </c>
      <c r="E30" s="503" t="s">
        <v>311</v>
      </c>
      <c r="F30" s="503" t="s">
        <v>593</v>
      </c>
      <c r="G30" s="503" t="s">
        <v>587</v>
      </c>
      <c r="H30" s="504"/>
    </row>
    <row r="31" spans="1:21" ht="13.5" thickBot="1" x14ac:dyDescent="0.25">
      <c r="A31" s="330"/>
      <c r="B31" s="331" t="s">
        <v>186</v>
      </c>
      <c r="C31" s="417" t="s">
        <v>311</v>
      </c>
      <c r="D31" s="417" t="s">
        <v>552</v>
      </c>
      <c r="E31" s="417" t="s">
        <v>311</v>
      </c>
      <c r="F31" s="417" t="s">
        <v>595</v>
      </c>
      <c r="G31" s="417" t="s">
        <v>594</v>
      </c>
      <c r="H31" s="505"/>
    </row>
    <row r="32" spans="1:21" x14ac:dyDescent="0.2">
      <c r="A32" s="332" t="s">
        <v>202</v>
      </c>
      <c r="B32" s="333"/>
      <c r="C32" s="333"/>
      <c r="D32" s="333"/>
      <c r="E32" s="333"/>
      <c r="F32" s="333"/>
      <c r="G32" s="333"/>
      <c r="H32" s="334"/>
    </row>
    <row r="33" spans="1:8" x14ac:dyDescent="0.2">
      <c r="A33" s="335"/>
      <c r="B33" s="336"/>
      <c r="C33" s="336"/>
      <c r="D33" s="336"/>
      <c r="E33" s="336"/>
      <c r="F33" s="336"/>
      <c r="G33" s="336"/>
      <c r="H33" s="337"/>
    </row>
    <row r="34" spans="1:8" x14ac:dyDescent="0.2">
      <c r="A34" s="335"/>
      <c r="B34" s="336"/>
      <c r="C34" s="336"/>
      <c r="D34" s="336"/>
      <c r="E34" s="336"/>
      <c r="F34" s="336"/>
      <c r="G34" s="336"/>
      <c r="H34" s="337"/>
    </row>
    <row r="35" spans="1:8" ht="13.5" thickBot="1" x14ac:dyDescent="0.25">
      <c r="A35" s="338"/>
      <c r="B35" s="339"/>
      <c r="C35" s="339"/>
      <c r="D35" s="339"/>
      <c r="E35" s="339"/>
      <c r="F35" s="339"/>
      <c r="G35" s="339"/>
      <c r="H35" s="340"/>
    </row>
    <row r="36" spans="1:8" ht="6.75" customHeight="1" thickBot="1" x14ac:dyDescent="0.25"/>
    <row r="37" spans="1:8" x14ac:dyDescent="0.2">
      <c r="A37" s="288" t="s">
        <v>236</v>
      </c>
      <c r="B37" s="289"/>
      <c r="C37" s="341"/>
      <c r="D37" s="341"/>
      <c r="E37" s="341"/>
      <c r="F37" s="341"/>
      <c r="G37" s="341"/>
      <c r="H37" s="342"/>
    </row>
    <row r="38" spans="1:8" x14ac:dyDescent="0.2">
      <c r="A38" s="301" t="s">
        <v>219</v>
      </c>
      <c r="B38" s="294"/>
      <c r="C38" s="302" t="s">
        <v>220</v>
      </c>
      <c r="D38" s="295"/>
      <c r="E38" s="296"/>
      <c r="F38" s="317"/>
      <c r="G38" s="302" t="s">
        <v>2</v>
      </c>
      <c r="H38" s="343"/>
    </row>
    <row r="39" spans="1:8" x14ac:dyDescent="0.2">
      <c r="A39" s="344"/>
      <c r="B39" s="345"/>
      <c r="C39" s="422" t="s">
        <v>335</v>
      </c>
      <c r="D39" s="346"/>
      <c r="E39" s="346"/>
      <c r="F39" s="328"/>
      <c r="G39" s="506" t="str">
        <f>Pocetna!$E$12</f>
        <v>Samobor</v>
      </c>
      <c r="H39" s="347"/>
    </row>
    <row r="40" spans="1:8" x14ac:dyDescent="0.2">
      <c r="A40" s="344"/>
      <c r="B40" s="294"/>
      <c r="C40" s="302" t="s">
        <v>221</v>
      </c>
      <c r="D40" s="303"/>
      <c r="E40" s="304" t="s">
        <v>222</v>
      </c>
      <c r="F40" s="303"/>
      <c r="G40" s="348" t="s">
        <v>223</v>
      </c>
      <c r="H40" s="349"/>
    </row>
    <row r="41" spans="1:8" x14ac:dyDescent="0.2">
      <c r="A41" s="344"/>
      <c r="B41" s="345"/>
      <c r="C41" s="422" t="s">
        <v>336</v>
      </c>
      <c r="D41" s="350"/>
      <c r="E41" s="422" t="s">
        <v>336</v>
      </c>
      <c r="F41" s="351"/>
      <c r="G41" s="422" t="s">
        <v>337</v>
      </c>
      <c r="H41" s="352"/>
    </row>
    <row r="42" spans="1:8" x14ac:dyDescent="0.2">
      <c r="A42" s="344"/>
      <c r="B42" s="353"/>
      <c r="C42" s="354" t="s">
        <v>228</v>
      </c>
      <c r="D42" s="354" t="s">
        <v>80</v>
      </c>
      <c r="E42" s="354" t="s">
        <v>227</v>
      </c>
      <c r="F42" s="354" t="s">
        <v>229</v>
      </c>
      <c r="G42" s="354" t="s">
        <v>243</v>
      </c>
      <c r="H42" s="355" t="s">
        <v>240</v>
      </c>
    </row>
    <row r="43" spans="1:8" x14ac:dyDescent="0.2">
      <c r="A43" s="298"/>
      <c r="B43" s="356"/>
      <c r="C43" s="357"/>
      <c r="D43" s="357"/>
      <c r="E43" s="357"/>
      <c r="F43" s="357"/>
      <c r="G43" s="357"/>
      <c r="H43" s="420" t="s">
        <v>118</v>
      </c>
    </row>
    <row r="44" spans="1:8" x14ac:dyDescent="0.2">
      <c r="A44" s="344" t="s">
        <v>213</v>
      </c>
      <c r="B44" s="294"/>
      <c r="C44" s="564" t="s">
        <v>214</v>
      </c>
      <c r="D44" s="358" t="s">
        <v>217</v>
      </c>
      <c r="E44" s="270" t="s">
        <v>216</v>
      </c>
      <c r="F44" s="564" t="s">
        <v>215</v>
      </c>
      <c r="G44" s="358" t="s">
        <v>217</v>
      </c>
      <c r="H44" s="359" t="s">
        <v>216</v>
      </c>
    </row>
    <row r="45" spans="1:8" x14ac:dyDescent="0.2">
      <c r="A45" s="298"/>
      <c r="B45" s="307"/>
      <c r="C45" s="565"/>
      <c r="D45" s="418" t="s">
        <v>311</v>
      </c>
      <c r="E45" s="418"/>
      <c r="F45" s="565"/>
      <c r="G45" s="418"/>
      <c r="H45" s="420" t="s">
        <v>115</v>
      </c>
    </row>
    <row r="46" spans="1:8" x14ac:dyDescent="0.2">
      <c r="A46" s="301" t="s">
        <v>211</v>
      </c>
      <c r="B46" s="294"/>
      <c r="C46" s="354" t="s">
        <v>203</v>
      </c>
      <c r="D46" s="354" t="s">
        <v>204</v>
      </c>
      <c r="E46" s="311" t="s">
        <v>205</v>
      </c>
      <c r="F46" s="311" t="s">
        <v>206</v>
      </c>
      <c r="G46" s="311" t="s">
        <v>207</v>
      </c>
      <c r="H46" s="360" t="s">
        <v>230</v>
      </c>
    </row>
    <row r="47" spans="1:8" x14ac:dyDescent="0.2">
      <c r="A47" s="292" t="s">
        <v>208</v>
      </c>
      <c r="B47" s="294"/>
      <c r="C47" s="418"/>
      <c r="D47" s="418"/>
      <c r="E47" s="418"/>
      <c r="F47" s="418"/>
      <c r="G47" s="418"/>
      <c r="H47" s="420"/>
    </row>
    <row r="48" spans="1:8" x14ac:dyDescent="0.2">
      <c r="A48" s="292" t="s">
        <v>210</v>
      </c>
      <c r="B48" s="294"/>
      <c r="C48" s="419"/>
      <c r="D48" s="419"/>
      <c r="E48" s="419"/>
      <c r="F48" s="419"/>
      <c r="G48" s="419"/>
      <c r="H48" s="421"/>
    </row>
    <row r="49" spans="1:22" x14ac:dyDescent="0.2">
      <c r="A49" s="298" t="s">
        <v>209</v>
      </c>
      <c r="B49" s="307"/>
      <c r="C49" s="419"/>
      <c r="D49" s="419"/>
      <c r="E49" s="419"/>
      <c r="F49" s="419"/>
      <c r="G49" s="419"/>
      <c r="H49" s="421"/>
    </row>
    <row r="50" spans="1:22" x14ac:dyDescent="0.2">
      <c r="A50" s="316" t="s">
        <v>212</v>
      </c>
      <c r="B50" s="293"/>
      <c r="C50" s="354" t="s">
        <v>218</v>
      </c>
      <c r="D50" s="312" t="s">
        <v>224</v>
      </c>
      <c r="E50" s="312" t="s">
        <v>225</v>
      </c>
      <c r="F50" s="302" t="s">
        <v>226</v>
      </c>
      <c r="G50" s="296"/>
      <c r="H50" s="343"/>
    </row>
    <row r="51" spans="1:22" ht="13.5" thickBot="1" x14ac:dyDescent="0.25">
      <c r="A51" s="330"/>
      <c r="B51" s="361"/>
      <c r="C51" s="362"/>
      <c r="D51" s="417"/>
      <c r="E51" s="417"/>
      <c r="F51" s="363"/>
      <c r="G51" s="364"/>
      <c r="H51" s="365"/>
    </row>
    <row r="52" spans="1:22" x14ac:dyDescent="0.2">
      <c r="A52" s="326" t="s">
        <v>235</v>
      </c>
      <c r="B52" s="293"/>
      <c r="C52" s="366" t="s">
        <v>231</v>
      </c>
      <c r="D52" s="367"/>
      <c r="E52" s="312" t="s">
        <v>205</v>
      </c>
      <c r="F52" s="293" t="s">
        <v>232</v>
      </c>
      <c r="G52" s="293" t="s">
        <v>233</v>
      </c>
      <c r="H52" s="297" t="s">
        <v>234</v>
      </c>
    </row>
    <row r="53" spans="1:22" x14ac:dyDescent="0.2">
      <c r="A53" s="314"/>
      <c r="B53" s="327"/>
      <c r="C53" s="416" t="s">
        <v>338</v>
      </c>
      <c r="D53" s="328"/>
      <c r="E53" s="503" t="s">
        <v>117</v>
      </c>
      <c r="F53" s="328"/>
      <c r="G53" s="503" t="s">
        <v>339</v>
      </c>
      <c r="H53" s="329"/>
    </row>
    <row r="54" spans="1:22" x14ac:dyDescent="0.2">
      <c r="A54" s="326" t="s">
        <v>237</v>
      </c>
      <c r="B54" s="293"/>
      <c r="C54" s="293" t="s">
        <v>239</v>
      </c>
      <c r="D54" s="293"/>
      <c r="E54" s="293" t="s">
        <v>241</v>
      </c>
      <c r="F54" s="302" t="s">
        <v>238</v>
      </c>
      <c r="G54" s="368"/>
      <c r="H54" s="369"/>
    </row>
    <row r="55" spans="1:22" x14ac:dyDescent="0.2">
      <c r="A55" s="326" t="s">
        <v>195</v>
      </c>
      <c r="B55" s="294"/>
      <c r="C55" s="370"/>
      <c r="D55" s="371"/>
      <c r="E55" s="418" t="s">
        <v>117</v>
      </c>
      <c r="F55" s="415" t="s">
        <v>340</v>
      </c>
      <c r="G55" s="372"/>
      <c r="H55" s="373"/>
    </row>
    <row r="56" spans="1:22" x14ac:dyDescent="0.2">
      <c r="A56" s="314" t="s">
        <v>196</v>
      </c>
      <c r="B56" s="374"/>
      <c r="C56" s="375"/>
      <c r="D56" s="376"/>
      <c r="E56" s="418" t="s">
        <v>116</v>
      </c>
      <c r="F56" s="415"/>
      <c r="G56" s="377"/>
      <c r="H56" s="373"/>
    </row>
    <row r="57" spans="1:22" x14ac:dyDescent="0.2">
      <c r="A57" s="326" t="s">
        <v>242</v>
      </c>
      <c r="B57" s="293"/>
      <c r="C57" s="354" t="s">
        <v>246</v>
      </c>
      <c r="D57" s="302"/>
      <c r="E57" s="317"/>
      <c r="F57" s="312" t="s">
        <v>244</v>
      </c>
      <c r="G57" s="378" t="s">
        <v>245</v>
      </c>
      <c r="H57" s="379"/>
    </row>
    <row r="58" spans="1:22" ht="13.5" thickBot="1" x14ac:dyDescent="0.25">
      <c r="A58" s="314"/>
      <c r="B58" s="327"/>
      <c r="C58" s="357"/>
      <c r="D58" s="370"/>
      <c r="E58" s="380"/>
      <c r="F58" s="503"/>
      <c r="G58" s="507" t="s">
        <v>99</v>
      </c>
      <c r="H58" s="381"/>
    </row>
    <row r="59" spans="1:22" x14ac:dyDescent="0.2">
      <c r="A59" s="332" t="s">
        <v>247</v>
      </c>
      <c r="B59" s="333"/>
      <c r="C59" s="333"/>
      <c r="D59" s="333"/>
      <c r="E59" s="333"/>
      <c r="F59" s="333"/>
      <c r="G59" s="333"/>
      <c r="H59" s="334"/>
    </row>
    <row r="60" spans="1:22" x14ac:dyDescent="0.2">
      <c r="A60" s="335"/>
      <c r="B60" s="336"/>
      <c r="C60" s="336"/>
      <c r="D60" s="336"/>
      <c r="E60" s="336"/>
      <c r="F60" s="336"/>
      <c r="G60" s="336"/>
      <c r="H60" s="337"/>
    </row>
    <row r="61" spans="1:22" x14ac:dyDescent="0.2">
      <c r="A61" s="335"/>
      <c r="B61" s="336"/>
      <c r="C61" s="336"/>
      <c r="D61" s="336"/>
      <c r="E61" s="336"/>
      <c r="F61" s="336"/>
      <c r="G61" s="336"/>
      <c r="H61" s="337"/>
    </row>
    <row r="62" spans="1:22" s="414" customFormat="1" ht="13.5" thickBot="1" x14ac:dyDescent="0.25">
      <c r="A62" s="411"/>
      <c r="B62" s="412"/>
      <c r="C62" s="412"/>
      <c r="D62" s="412"/>
      <c r="E62" s="412"/>
      <c r="F62" s="412"/>
      <c r="G62" s="412"/>
      <c r="H62" s="413"/>
      <c r="T62" s="425"/>
      <c r="U62" s="425"/>
      <c r="V62" s="425"/>
    </row>
    <row r="63" spans="1:22" ht="13.5" thickBot="1" x14ac:dyDescent="0.25">
      <c r="H63" s="175" t="s">
        <v>111</v>
      </c>
    </row>
    <row r="64" spans="1:22" x14ac:dyDescent="0.2">
      <c r="A64" s="382" t="s">
        <v>254</v>
      </c>
      <c r="B64" s="383"/>
      <c r="C64" s="341"/>
      <c r="D64" s="341"/>
      <c r="E64" s="341"/>
      <c r="F64" s="341"/>
      <c r="G64" s="341"/>
      <c r="H64" s="342"/>
    </row>
    <row r="65" spans="1:21" x14ac:dyDescent="0.2">
      <c r="A65" s="384" t="s">
        <v>249</v>
      </c>
      <c r="B65" s="303"/>
      <c r="C65" s="302" t="s">
        <v>63</v>
      </c>
      <c r="D65" s="295"/>
      <c r="E65" s="317"/>
      <c r="F65" s="302" t="s">
        <v>64</v>
      </c>
      <c r="G65" s="295"/>
      <c r="H65" s="306"/>
    </row>
    <row r="66" spans="1:21" x14ac:dyDescent="0.2">
      <c r="A66" s="344"/>
      <c r="B66" s="353"/>
      <c r="C66" s="501" t="str">
        <f>Pocetna!$E$14</f>
        <v>Igor Bukvić</v>
      </c>
      <c r="D66" s="385"/>
      <c r="E66" s="380"/>
      <c r="F66" s="501" t="str">
        <f>Pocetna!$E$16</f>
        <v xml:space="preserve">DZ </v>
      </c>
      <c r="G66" s="386"/>
      <c r="H66" s="387"/>
    </row>
    <row r="67" spans="1:21" x14ac:dyDescent="0.2">
      <c r="A67" s="344"/>
      <c r="B67" s="293"/>
      <c r="C67" s="302" t="s">
        <v>250</v>
      </c>
      <c r="D67" s="295"/>
      <c r="E67" s="317"/>
      <c r="F67" s="302" t="s">
        <v>250</v>
      </c>
      <c r="G67" s="295"/>
      <c r="H67" s="306"/>
    </row>
    <row r="68" spans="1:21" x14ac:dyDescent="0.2">
      <c r="A68" s="298"/>
      <c r="B68" s="356"/>
      <c r="C68" s="501" t="str">
        <f>Pocetna!$F$14</f>
        <v xml:space="preserve">Boris Lumpert </v>
      </c>
      <c r="D68" s="385"/>
      <c r="E68" s="380"/>
      <c r="F68" s="501">
        <f>Pocetna!$F$15</f>
        <v>0</v>
      </c>
      <c r="G68" s="386"/>
      <c r="H68" s="387"/>
    </row>
    <row r="69" spans="1:21" x14ac:dyDescent="0.2">
      <c r="A69" s="310" t="s">
        <v>251</v>
      </c>
      <c r="B69" s="295"/>
      <c r="C69" s="302" t="s">
        <v>5</v>
      </c>
      <c r="D69" s="295"/>
      <c r="E69" s="302" t="s">
        <v>252</v>
      </c>
      <c r="F69" s="296"/>
      <c r="G69" s="302" t="s">
        <v>253</v>
      </c>
      <c r="H69" s="343"/>
    </row>
    <row r="70" spans="1:21" ht="13.5" thickBot="1" x14ac:dyDescent="0.25">
      <c r="A70" s="330"/>
      <c r="B70" s="388"/>
      <c r="C70" s="508" t="str">
        <f>Pocetna!$F$12</f>
        <v>Mladen Šančić</v>
      </c>
      <c r="D70" s="389"/>
      <c r="E70" s="508" t="s">
        <v>99</v>
      </c>
      <c r="F70" s="390"/>
      <c r="G70" s="508" t="s">
        <v>99</v>
      </c>
      <c r="H70" s="365"/>
    </row>
    <row r="71" spans="1:21" x14ac:dyDescent="0.2">
      <c r="A71" s="320" t="s">
        <v>255</v>
      </c>
      <c r="B71" s="366"/>
      <c r="C71" s="391" t="s">
        <v>256</v>
      </c>
      <c r="D71" s="392"/>
      <c r="E71" s="366" t="s">
        <v>257</v>
      </c>
      <c r="F71" s="367"/>
      <c r="G71" s="366" t="s">
        <v>194</v>
      </c>
      <c r="H71" s="393"/>
    </row>
    <row r="72" spans="1:21" x14ac:dyDescent="0.2">
      <c r="A72" s="316" t="s">
        <v>259</v>
      </c>
      <c r="B72" s="319"/>
      <c r="C72" s="569"/>
      <c r="D72" s="569"/>
      <c r="E72" s="569"/>
      <c r="F72" s="569"/>
      <c r="G72" s="569"/>
      <c r="H72" s="570"/>
    </row>
    <row r="73" spans="1:21" x14ac:dyDescent="0.2">
      <c r="A73" s="316" t="s">
        <v>260</v>
      </c>
      <c r="B73" s="319"/>
      <c r="C73" s="566"/>
      <c r="D73" s="566"/>
      <c r="E73" s="566"/>
      <c r="F73" s="566"/>
      <c r="G73" s="566"/>
      <c r="H73" s="567"/>
    </row>
    <row r="74" spans="1:21" x14ac:dyDescent="0.2">
      <c r="A74" s="394" t="s">
        <v>261</v>
      </c>
      <c r="B74" s="371"/>
      <c r="C74" s="566"/>
      <c r="D74" s="566"/>
      <c r="E74" s="566"/>
      <c r="F74" s="566"/>
      <c r="G74" s="566"/>
      <c r="H74" s="567"/>
    </row>
    <row r="75" spans="1:21" x14ac:dyDescent="0.2">
      <c r="A75" s="316" t="s">
        <v>258</v>
      </c>
      <c r="B75" s="395"/>
      <c r="C75" s="396" t="s">
        <v>248</v>
      </c>
      <c r="D75" s="397"/>
      <c r="E75" s="396" t="s">
        <v>277</v>
      </c>
      <c r="F75" s="398"/>
      <c r="G75" s="294" t="s">
        <v>278</v>
      </c>
      <c r="H75" s="360" t="s">
        <v>279</v>
      </c>
    </row>
    <row r="76" spans="1:21" x14ac:dyDescent="0.2">
      <c r="A76" s="316"/>
      <c r="B76" s="399" t="s">
        <v>262</v>
      </c>
      <c r="C76" s="427" t="s">
        <v>313</v>
      </c>
      <c r="D76" s="397"/>
      <c r="E76" s="397"/>
      <c r="F76" s="400"/>
      <c r="G76" s="509"/>
      <c r="H76" s="510"/>
      <c r="U76" s="282"/>
    </row>
    <row r="77" spans="1:21" x14ac:dyDescent="0.2">
      <c r="A77" s="401"/>
      <c r="B77" s="336"/>
      <c r="C77" s="428"/>
      <c r="D77" s="402"/>
      <c r="E77" s="402"/>
      <c r="F77" s="403"/>
      <c r="G77" s="418">
        <v>0</v>
      </c>
      <c r="H77" s="420">
        <v>0</v>
      </c>
      <c r="U77" s="282"/>
    </row>
    <row r="78" spans="1:21" x14ac:dyDescent="0.2">
      <c r="A78" s="401"/>
      <c r="B78" s="399" t="s">
        <v>263</v>
      </c>
      <c r="C78" s="427" t="s">
        <v>282</v>
      </c>
      <c r="D78" s="397"/>
      <c r="E78" s="397"/>
      <c r="F78" s="400"/>
      <c r="G78" s="509"/>
      <c r="H78" s="510"/>
      <c r="U78" s="282"/>
    </row>
    <row r="79" spans="1:21" x14ac:dyDescent="0.2">
      <c r="A79" s="401"/>
      <c r="B79" s="336"/>
      <c r="C79" s="428"/>
      <c r="D79" s="402"/>
      <c r="E79" s="402"/>
      <c r="F79" s="402"/>
      <c r="G79" s="418">
        <v>0</v>
      </c>
      <c r="H79" s="420">
        <v>0</v>
      </c>
      <c r="U79" s="282"/>
    </row>
    <row r="80" spans="1:21" x14ac:dyDescent="0.2">
      <c r="A80" s="401"/>
      <c r="B80" s="399" t="s">
        <v>264</v>
      </c>
      <c r="C80" s="427" t="s">
        <v>283</v>
      </c>
      <c r="D80" s="397"/>
      <c r="E80" s="397"/>
      <c r="F80" s="400"/>
      <c r="G80" s="509"/>
      <c r="H80" s="510"/>
      <c r="U80" s="282"/>
    </row>
    <row r="81" spans="1:21" x14ac:dyDescent="0.2">
      <c r="A81" s="401"/>
      <c r="B81" s="336"/>
      <c r="C81" s="428"/>
      <c r="D81" s="402"/>
      <c r="E81" s="402"/>
      <c r="F81" s="403"/>
      <c r="G81" s="418">
        <v>0</v>
      </c>
      <c r="H81" s="420">
        <v>0</v>
      </c>
      <c r="U81" s="282"/>
    </row>
    <row r="82" spans="1:21" x14ac:dyDescent="0.2">
      <c r="A82" s="401"/>
      <c r="B82" s="399" t="s">
        <v>265</v>
      </c>
      <c r="C82" s="427" t="s">
        <v>284</v>
      </c>
      <c r="D82" s="397"/>
      <c r="E82" s="397"/>
      <c r="F82" s="400"/>
      <c r="G82" s="509"/>
      <c r="H82" s="510"/>
      <c r="U82" s="282"/>
    </row>
    <row r="83" spans="1:21" x14ac:dyDescent="0.2">
      <c r="A83" s="401"/>
      <c r="B83" s="336"/>
      <c r="C83" s="428"/>
      <c r="D83" s="402"/>
      <c r="E83" s="402"/>
      <c r="F83" s="403"/>
      <c r="G83" s="418">
        <v>0</v>
      </c>
      <c r="H83" s="420">
        <v>0</v>
      </c>
      <c r="U83" s="282"/>
    </row>
    <row r="84" spans="1:21" x14ac:dyDescent="0.2">
      <c r="A84" s="401"/>
      <c r="B84" s="399" t="s">
        <v>266</v>
      </c>
      <c r="C84" s="427" t="s">
        <v>285</v>
      </c>
      <c r="D84" s="397"/>
      <c r="E84" s="397"/>
      <c r="F84" s="400"/>
      <c r="G84" s="509"/>
      <c r="H84" s="510"/>
      <c r="U84" s="282"/>
    </row>
    <row r="85" spans="1:21" x14ac:dyDescent="0.2">
      <c r="A85" s="401"/>
      <c r="B85" s="336"/>
      <c r="C85" s="428"/>
      <c r="D85" s="402"/>
      <c r="E85" s="402"/>
      <c r="F85" s="403"/>
      <c r="G85" s="418">
        <v>0</v>
      </c>
      <c r="H85" s="420">
        <v>0</v>
      </c>
      <c r="U85" s="282"/>
    </row>
    <row r="86" spans="1:21" x14ac:dyDescent="0.2">
      <c r="A86" s="401"/>
      <c r="B86" s="399" t="s">
        <v>267</v>
      </c>
      <c r="C86" s="427" t="s">
        <v>286</v>
      </c>
      <c r="D86" s="397"/>
      <c r="E86" s="397"/>
      <c r="F86" s="400"/>
      <c r="G86" s="509"/>
      <c r="H86" s="510"/>
      <c r="U86" s="282"/>
    </row>
    <row r="87" spans="1:21" x14ac:dyDescent="0.2">
      <c r="A87" s="335"/>
      <c r="B87" s="336"/>
      <c r="C87" s="428"/>
      <c r="D87" s="402"/>
      <c r="E87" s="402"/>
      <c r="F87" s="403"/>
      <c r="G87" s="418">
        <v>0</v>
      </c>
      <c r="H87" s="420">
        <v>0</v>
      </c>
      <c r="U87" s="282"/>
    </row>
    <row r="88" spans="1:21" x14ac:dyDescent="0.2">
      <c r="A88" s="401"/>
      <c r="B88" s="399" t="s">
        <v>268</v>
      </c>
      <c r="C88" s="427" t="s">
        <v>287</v>
      </c>
      <c r="D88" s="397"/>
      <c r="E88" s="397"/>
      <c r="F88" s="400"/>
      <c r="G88" s="509"/>
      <c r="H88" s="510"/>
      <c r="U88" s="282"/>
    </row>
    <row r="89" spans="1:21" x14ac:dyDescent="0.2">
      <c r="A89" s="401"/>
      <c r="B89" s="336"/>
      <c r="C89" s="428"/>
      <c r="D89" s="402"/>
      <c r="E89" s="402"/>
      <c r="F89" s="402"/>
      <c r="G89" s="418">
        <v>0</v>
      </c>
      <c r="H89" s="420">
        <v>0</v>
      </c>
      <c r="U89" s="282"/>
    </row>
    <row r="90" spans="1:21" x14ac:dyDescent="0.2">
      <c r="A90" s="401"/>
      <c r="B90" s="399" t="s">
        <v>269</v>
      </c>
      <c r="C90" s="427" t="s">
        <v>288</v>
      </c>
      <c r="D90" s="397"/>
      <c r="E90" s="397"/>
      <c r="F90" s="400"/>
      <c r="G90" s="509"/>
      <c r="H90" s="510"/>
      <c r="U90" s="282"/>
    </row>
    <row r="91" spans="1:21" x14ac:dyDescent="0.2">
      <c r="A91" s="401"/>
      <c r="B91" s="336"/>
      <c r="C91" s="428"/>
      <c r="D91" s="402"/>
      <c r="E91" s="402"/>
      <c r="F91" s="403"/>
      <c r="G91" s="418">
        <v>0</v>
      </c>
      <c r="H91" s="420">
        <v>0</v>
      </c>
    </row>
    <row r="92" spans="1:21" x14ac:dyDescent="0.2">
      <c r="A92" s="401"/>
      <c r="B92" s="399" t="s">
        <v>270</v>
      </c>
      <c r="C92" s="427" t="s">
        <v>289</v>
      </c>
      <c r="D92" s="397"/>
      <c r="E92" s="397"/>
      <c r="F92" s="400"/>
      <c r="G92" s="509"/>
      <c r="H92" s="510"/>
    </row>
    <row r="93" spans="1:21" x14ac:dyDescent="0.2">
      <c r="A93" s="401"/>
      <c r="B93" s="336"/>
      <c r="C93" s="428"/>
      <c r="D93" s="402"/>
      <c r="E93" s="402"/>
      <c r="F93" s="403"/>
      <c r="G93" s="418">
        <v>0</v>
      </c>
      <c r="H93" s="420">
        <v>0</v>
      </c>
    </row>
    <row r="94" spans="1:21" x14ac:dyDescent="0.2">
      <c r="A94" s="401"/>
      <c r="B94" s="399" t="s">
        <v>271</v>
      </c>
      <c r="C94" s="427" t="s">
        <v>290</v>
      </c>
      <c r="D94" s="397"/>
      <c r="E94" s="397"/>
      <c r="F94" s="400"/>
      <c r="G94" s="509"/>
      <c r="H94" s="510"/>
    </row>
    <row r="95" spans="1:21" x14ac:dyDescent="0.2">
      <c r="A95" s="401"/>
      <c r="B95" s="399"/>
      <c r="C95" s="428"/>
      <c r="D95" s="402"/>
      <c r="E95" s="402"/>
      <c r="F95" s="403"/>
      <c r="G95" s="418">
        <v>0</v>
      </c>
      <c r="H95" s="420">
        <v>0</v>
      </c>
    </row>
    <row r="96" spans="1:21" x14ac:dyDescent="0.2">
      <c r="A96" s="401"/>
      <c r="B96" s="399" t="s">
        <v>272</v>
      </c>
      <c r="C96" s="427" t="s">
        <v>291</v>
      </c>
      <c r="D96" s="397"/>
      <c r="E96" s="397"/>
      <c r="F96" s="400"/>
      <c r="G96" s="509"/>
      <c r="H96" s="510"/>
    </row>
    <row r="97" spans="1:22" x14ac:dyDescent="0.2">
      <c r="A97" s="401"/>
      <c r="B97" s="399"/>
      <c r="C97" s="428"/>
      <c r="D97" s="402"/>
      <c r="E97" s="402"/>
      <c r="F97" s="403"/>
      <c r="G97" s="418">
        <v>0</v>
      </c>
      <c r="H97" s="420">
        <v>0</v>
      </c>
    </row>
    <row r="98" spans="1:22" x14ac:dyDescent="0.2">
      <c r="A98" s="401"/>
      <c r="B98" s="404" t="s">
        <v>273</v>
      </c>
      <c r="C98" s="427" t="s">
        <v>292</v>
      </c>
      <c r="D98" s="397"/>
      <c r="E98" s="397"/>
      <c r="F98" s="400"/>
      <c r="G98" s="509"/>
      <c r="H98" s="510"/>
    </row>
    <row r="99" spans="1:22" x14ac:dyDescent="0.2">
      <c r="A99" s="401"/>
      <c r="B99" s="399"/>
      <c r="C99" s="428"/>
      <c r="D99" s="402"/>
      <c r="E99" s="402"/>
      <c r="F99" s="402"/>
      <c r="G99" s="418">
        <v>0</v>
      </c>
      <c r="H99" s="420">
        <v>0</v>
      </c>
    </row>
    <row r="100" spans="1:22" x14ac:dyDescent="0.2">
      <c r="A100" s="401"/>
      <c r="B100" s="399" t="s">
        <v>274</v>
      </c>
      <c r="C100" s="427" t="s">
        <v>293</v>
      </c>
      <c r="D100" s="397"/>
      <c r="E100" s="397"/>
      <c r="F100" s="400"/>
      <c r="G100" s="509"/>
      <c r="H100" s="510"/>
    </row>
    <row r="101" spans="1:22" x14ac:dyDescent="0.2">
      <c r="A101" s="401"/>
      <c r="B101" s="399"/>
      <c r="C101" s="428"/>
      <c r="D101" s="402"/>
      <c r="E101" s="402"/>
      <c r="F101" s="403"/>
      <c r="G101" s="418">
        <v>0</v>
      </c>
      <c r="H101" s="420">
        <v>0</v>
      </c>
    </row>
    <row r="102" spans="1:22" x14ac:dyDescent="0.2">
      <c r="A102" s="401"/>
      <c r="B102" s="399" t="s">
        <v>275</v>
      </c>
      <c r="C102" s="427" t="s">
        <v>294</v>
      </c>
      <c r="D102" s="397"/>
      <c r="E102" s="397"/>
      <c r="F102" s="400"/>
      <c r="G102" s="509"/>
      <c r="H102" s="510"/>
    </row>
    <row r="103" spans="1:22" x14ac:dyDescent="0.2">
      <c r="A103" s="401"/>
      <c r="B103" s="399"/>
      <c r="C103" s="428"/>
      <c r="D103" s="402"/>
      <c r="E103" s="402"/>
      <c r="F103" s="403"/>
      <c r="G103" s="418">
        <v>0</v>
      </c>
      <c r="H103" s="420">
        <v>0</v>
      </c>
    </row>
    <row r="104" spans="1:22" x14ac:dyDescent="0.2">
      <c r="A104" s="401"/>
      <c r="B104" s="399" t="s">
        <v>276</v>
      </c>
      <c r="C104" s="427" t="s">
        <v>295</v>
      </c>
      <c r="D104" s="397"/>
      <c r="E104" s="397"/>
      <c r="F104" s="400"/>
      <c r="G104" s="509"/>
      <c r="H104" s="510"/>
    </row>
    <row r="105" spans="1:22" ht="13.5" thickBot="1" x14ac:dyDescent="0.25">
      <c r="A105" s="405"/>
      <c r="B105" s="406"/>
      <c r="C105" s="429"/>
      <c r="D105" s="407"/>
      <c r="E105" s="407"/>
      <c r="F105" s="408"/>
      <c r="G105" s="511">
        <v>0</v>
      </c>
      <c r="H105" s="512">
        <v>0</v>
      </c>
    </row>
    <row r="106" spans="1:22" s="409" customFormat="1" x14ac:dyDescent="0.2">
      <c r="A106" s="332" t="s">
        <v>281</v>
      </c>
      <c r="B106" s="333"/>
      <c r="C106" s="333"/>
      <c r="D106" s="333"/>
      <c r="E106" s="333"/>
      <c r="F106" s="333"/>
      <c r="G106" s="333"/>
      <c r="H106" s="334"/>
      <c r="T106" s="426"/>
      <c r="U106" s="426"/>
      <c r="V106" s="426"/>
    </row>
    <row r="107" spans="1:22" s="409" customFormat="1" x14ac:dyDescent="0.2">
      <c r="A107" s="335"/>
      <c r="B107" s="336"/>
      <c r="C107" s="336"/>
      <c r="D107" s="336"/>
      <c r="E107" s="336"/>
      <c r="F107" s="336"/>
      <c r="G107" s="336"/>
      <c r="H107" s="337"/>
      <c r="T107" s="426"/>
      <c r="U107" s="426"/>
      <c r="V107" s="426"/>
    </row>
    <row r="108" spans="1:22" s="409" customFormat="1" x14ac:dyDescent="0.2">
      <c r="A108" s="335"/>
      <c r="B108" s="336"/>
      <c r="C108" s="336"/>
      <c r="D108" s="336"/>
      <c r="E108" s="336"/>
      <c r="F108" s="336"/>
      <c r="G108" s="336"/>
      <c r="H108" s="337"/>
      <c r="T108" s="426"/>
      <c r="U108" s="426"/>
      <c r="V108" s="426"/>
    </row>
    <row r="109" spans="1:22" s="409" customFormat="1" ht="13.5" thickBot="1" x14ac:dyDescent="0.25">
      <c r="A109" s="338"/>
      <c r="B109" s="339"/>
      <c r="C109" s="339"/>
      <c r="D109" s="339"/>
      <c r="E109" s="339"/>
      <c r="F109" s="339"/>
      <c r="G109" s="339"/>
      <c r="H109" s="340"/>
      <c r="T109" s="426"/>
      <c r="U109" s="426"/>
      <c r="V109" s="426"/>
    </row>
    <row r="110" spans="1:22" x14ac:dyDescent="0.2">
      <c r="A110" s="410" t="s">
        <v>297</v>
      </c>
    </row>
    <row r="111" spans="1:22" x14ac:dyDescent="0.2">
      <c r="A111" s="410"/>
    </row>
    <row r="112" spans="1:22" ht="13.5" thickBot="1" x14ac:dyDescent="0.25">
      <c r="A112" s="410" t="s">
        <v>280</v>
      </c>
    </row>
    <row r="113" spans="1:8" x14ac:dyDescent="0.2">
      <c r="A113" s="280"/>
      <c r="B113" s="211"/>
      <c r="C113" s="281"/>
      <c r="D113" s="442" t="s">
        <v>17</v>
      </c>
      <c r="E113" s="443"/>
      <c r="F113" s="444" t="s">
        <v>20</v>
      </c>
      <c r="G113" s="445"/>
      <c r="H113" s="446"/>
    </row>
    <row r="114" spans="1:8" ht="26.25" customHeight="1" thickBot="1" x14ac:dyDescent="0.25">
      <c r="A114" s="79"/>
      <c r="B114" s="219"/>
      <c r="C114" s="252"/>
      <c r="D114" s="568">
        <v>42486</v>
      </c>
      <c r="E114" s="554"/>
      <c r="F114" s="269" t="str">
        <f>Pocetna!$F$12</f>
        <v>Mladen Šančić</v>
      </c>
      <c r="G114" s="219"/>
      <c r="H114" s="80"/>
    </row>
  </sheetData>
  <sheetProtection password="CC5C" sheet="1" objects="1" scenarios="1" sort="0" autoFilter="0"/>
  <mergeCells count="16">
    <mergeCell ref="G74:H74"/>
    <mergeCell ref="D114:E114"/>
    <mergeCell ref="C74:D74"/>
    <mergeCell ref="E74:F74"/>
    <mergeCell ref="C72:D72"/>
    <mergeCell ref="C73:D73"/>
    <mergeCell ref="E72:F72"/>
    <mergeCell ref="E73:F73"/>
    <mergeCell ref="G72:H72"/>
    <mergeCell ref="G73:H73"/>
    <mergeCell ref="C18:C19"/>
    <mergeCell ref="F18:F19"/>
    <mergeCell ref="D21:E21"/>
    <mergeCell ref="F21:G21"/>
    <mergeCell ref="C44:C45"/>
    <mergeCell ref="F44:F45"/>
  </mergeCells>
  <phoneticPr fontId="16" type="noConversion"/>
  <conditionalFormatting sqref="D114:E114">
    <cfRule type="expression" dxfId="61" priority="1" stopIfTrue="1">
      <formula>D114="dd.mm.gggg."</formula>
    </cfRule>
    <cfRule type="expression" dxfId="60" priority="2" stopIfTrue="1">
      <formula>D114=""</formula>
    </cfRule>
  </conditionalFormatting>
  <printOptions horizontalCentered="1"/>
  <pageMargins left="0.19685039370078741" right="0.19685039370078741" top="0.19685039370078741" bottom="0.39370078740157483" header="0.51181102362204722" footer="0.41"/>
  <pageSetup paperSize="9"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6" r:id="rId4" name="Check Box 1">
              <controlPr locked="0" defaultSize="0" autoFill="0" autoLine="0" autoPict="0">
                <anchor moveWithCells="1">
                  <from>
                    <xdr:col>2</xdr:col>
                    <xdr:colOff>47625</xdr:colOff>
                    <xdr:row>10</xdr:row>
                    <xdr:rowOff>28575</xdr:rowOff>
                  </from>
                  <to>
                    <xdr:col>3</xdr:col>
                    <xdr:colOff>771525</xdr:colOff>
                    <xdr:row>10</xdr:row>
                    <xdr:rowOff>247650</xdr:rowOff>
                  </to>
                </anchor>
              </controlPr>
            </control>
          </mc:Choice>
        </mc:AlternateContent>
        <mc:AlternateContent xmlns:mc="http://schemas.openxmlformats.org/markup-compatibility/2006">
          <mc:Choice Requires="x14">
            <control shapeId="30737" r:id="rId5" name="Check Box 2">
              <controlPr locked="0" defaultSize="0" autoFill="0" autoLine="0" autoPict="0">
                <anchor moveWithCells="1">
                  <from>
                    <xdr:col>4</xdr:col>
                    <xdr:colOff>47625</xdr:colOff>
                    <xdr:row>10</xdr:row>
                    <xdr:rowOff>28575</xdr:rowOff>
                  </from>
                  <to>
                    <xdr:col>5</xdr:col>
                    <xdr:colOff>771525</xdr:colOff>
                    <xdr:row>10</xdr:row>
                    <xdr:rowOff>247650</xdr:rowOff>
                  </to>
                </anchor>
              </controlPr>
            </control>
          </mc:Choice>
        </mc:AlternateContent>
        <mc:AlternateContent xmlns:mc="http://schemas.openxmlformats.org/markup-compatibility/2006">
          <mc:Choice Requires="x14">
            <control shapeId="30738" r:id="rId6" name="Check Box 3">
              <controlPr locked="0" defaultSize="0" autoFill="0" autoLine="0" autoPict="0">
                <anchor moveWithCells="1">
                  <from>
                    <xdr:col>6</xdr:col>
                    <xdr:colOff>47625</xdr:colOff>
                    <xdr:row>10</xdr:row>
                    <xdr:rowOff>28575</xdr:rowOff>
                  </from>
                  <to>
                    <xdr:col>7</xdr:col>
                    <xdr:colOff>771525</xdr:colOff>
                    <xdr:row>10</xdr:row>
                    <xdr:rowOff>247650</xdr:rowOff>
                  </to>
                </anchor>
              </controlPr>
            </control>
          </mc:Choice>
        </mc:AlternateContent>
        <mc:AlternateContent xmlns:mc="http://schemas.openxmlformats.org/markup-compatibility/2006">
          <mc:Choice Requires="x14">
            <control shapeId="30742" r:id="rId7" name="Label 22">
              <controlPr locked="0" defaultSize="0" autoFill="0" autoPict="0">
                <anchor moveWithCells="1">
                  <from>
                    <xdr:col>0</xdr:col>
                    <xdr:colOff>95250</xdr:colOff>
                    <xdr:row>32</xdr:row>
                    <xdr:rowOff>19050</xdr:rowOff>
                  </from>
                  <to>
                    <xdr:col>7</xdr:col>
                    <xdr:colOff>733425</xdr:colOff>
                    <xdr:row>34</xdr:row>
                    <xdr:rowOff>104775</xdr:rowOff>
                  </to>
                </anchor>
              </controlPr>
            </control>
          </mc:Choice>
        </mc:AlternateContent>
        <mc:AlternateContent xmlns:mc="http://schemas.openxmlformats.org/markup-compatibility/2006">
          <mc:Choice Requires="x14">
            <control shapeId="30743" r:id="rId8" name="Label 23">
              <controlPr locked="0" defaultSize="0" autoFill="0" autoPict="0">
                <anchor moveWithCells="1">
                  <from>
                    <xdr:col>0</xdr:col>
                    <xdr:colOff>95250</xdr:colOff>
                    <xdr:row>59</xdr:row>
                    <xdr:rowOff>19050</xdr:rowOff>
                  </from>
                  <to>
                    <xdr:col>7</xdr:col>
                    <xdr:colOff>733425</xdr:colOff>
                    <xdr:row>61</xdr:row>
                    <xdr:rowOff>104775</xdr:rowOff>
                  </to>
                </anchor>
              </controlPr>
            </control>
          </mc:Choice>
        </mc:AlternateContent>
        <mc:AlternateContent xmlns:mc="http://schemas.openxmlformats.org/markup-compatibility/2006">
          <mc:Choice Requires="x14">
            <control shapeId="30745" r:id="rId9" name="Check Box 12">
              <controlPr locked="0" defaultSize="0" autoFill="0" autoLine="0" autoPict="0">
                <anchor moveWithCells="1">
                  <from>
                    <xdr:col>2</xdr:col>
                    <xdr:colOff>28575</xdr:colOff>
                    <xdr:row>49</xdr:row>
                    <xdr:rowOff>123825</xdr:rowOff>
                  </from>
                  <to>
                    <xdr:col>2</xdr:col>
                    <xdr:colOff>390525</xdr:colOff>
                    <xdr:row>51</xdr:row>
                    <xdr:rowOff>9525</xdr:rowOff>
                  </to>
                </anchor>
              </controlPr>
            </control>
          </mc:Choice>
        </mc:AlternateContent>
        <mc:AlternateContent xmlns:mc="http://schemas.openxmlformats.org/markup-compatibility/2006">
          <mc:Choice Requires="x14">
            <control shapeId="30746" r:id="rId10" name="Check Box 13">
              <controlPr locked="0" defaultSize="0" autoFill="0" autoLine="0" autoPict="0">
                <anchor moveWithCells="1">
                  <from>
                    <xdr:col>2</xdr:col>
                    <xdr:colOff>428625</xdr:colOff>
                    <xdr:row>49</xdr:row>
                    <xdr:rowOff>123825</xdr:rowOff>
                  </from>
                  <to>
                    <xdr:col>2</xdr:col>
                    <xdr:colOff>790575</xdr:colOff>
                    <xdr:row>51</xdr:row>
                    <xdr:rowOff>9525</xdr:rowOff>
                  </to>
                </anchor>
              </controlPr>
            </control>
          </mc:Choice>
        </mc:AlternateContent>
        <mc:AlternateContent xmlns:mc="http://schemas.openxmlformats.org/markup-compatibility/2006">
          <mc:Choice Requires="x14">
            <control shapeId="30747" r:id="rId11" name="Check Box 14">
              <controlPr locked="0" defaultSize="0" autoFill="0" autoLine="0" autoPict="0">
                <anchor moveWithCells="1">
                  <from>
                    <xdr:col>5</xdr:col>
                    <xdr:colOff>28575</xdr:colOff>
                    <xdr:row>49</xdr:row>
                    <xdr:rowOff>123825</xdr:rowOff>
                  </from>
                  <to>
                    <xdr:col>5</xdr:col>
                    <xdr:colOff>390525</xdr:colOff>
                    <xdr:row>51</xdr:row>
                    <xdr:rowOff>9525</xdr:rowOff>
                  </to>
                </anchor>
              </controlPr>
            </control>
          </mc:Choice>
        </mc:AlternateContent>
        <mc:AlternateContent xmlns:mc="http://schemas.openxmlformats.org/markup-compatibility/2006">
          <mc:Choice Requires="x14">
            <control shapeId="30748" r:id="rId12" name="Check Box 15">
              <controlPr locked="0" defaultSize="0" autoFill="0" autoLine="0" autoPict="0">
                <anchor moveWithCells="1">
                  <from>
                    <xdr:col>5</xdr:col>
                    <xdr:colOff>428625</xdr:colOff>
                    <xdr:row>49</xdr:row>
                    <xdr:rowOff>123825</xdr:rowOff>
                  </from>
                  <to>
                    <xdr:col>5</xdr:col>
                    <xdr:colOff>790575</xdr:colOff>
                    <xdr:row>51</xdr:row>
                    <xdr:rowOff>9525</xdr:rowOff>
                  </to>
                </anchor>
              </controlPr>
            </control>
          </mc:Choice>
        </mc:AlternateContent>
        <mc:AlternateContent xmlns:mc="http://schemas.openxmlformats.org/markup-compatibility/2006">
          <mc:Choice Requires="x14">
            <control shapeId="30749" r:id="rId13" name="Check Box 5">
              <controlPr locked="0" defaultSize="0" autoFill="0" autoLine="0" autoPict="0">
                <anchor moveWithCells="1">
                  <from>
                    <xdr:col>6</xdr:col>
                    <xdr:colOff>38100</xdr:colOff>
                    <xdr:row>49</xdr:row>
                    <xdr:rowOff>123825</xdr:rowOff>
                  </from>
                  <to>
                    <xdr:col>6</xdr:col>
                    <xdr:colOff>638175</xdr:colOff>
                    <xdr:row>51</xdr:row>
                    <xdr:rowOff>9525</xdr:rowOff>
                  </to>
                </anchor>
              </controlPr>
            </control>
          </mc:Choice>
        </mc:AlternateContent>
        <mc:AlternateContent xmlns:mc="http://schemas.openxmlformats.org/markup-compatibility/2006">
          <mc:Choice Requires="x14">
            <control shapeId="30750" r:id="rId14" name="Check Box 4">
              <controlPr locked="0" defaultSize="0" autoFill="0" autoLine="0" autoPict="0">
                <anchor moveWithCells="1">
                  <from>
                    <xdr:col>2</xdr:col>
                    <xdr:colOff>28575</xdr:colOff>
                    <xdr:row>41</xdr:row>
                    <xdr:rowOff>123825</xdr:rowOff>
                  </from>
                  <to>
                    <xdr:col>2</xdr:col>
                    <xdr:colOff>390525</xdr:colOff>
                    <xdr:row>43</xdr:row>
                    <xdr:rowOff>19050</xdr:rowOff>
                  </to>
                </anchor>
              </controlPr>
            </control>
          </mc:Choice>
        </mc:AlternateContent>
        <mc:AlternateContent xmlns:mc="http://schemas.openxmlformats.org/markup-compatibility/2006">
          <mc:Choice Requires="x14">
            <control shapeId="30751" r:id="rId15" name="Check Box 31">
              <controlPr locked="0" defaultSize="0" autoFill="0" autoLine="0" autoPict="0">
                <anchor moveWithCells="1">
                  <from>
                    <xdr:col>2</xdr:col>
                    <xdr:colOff>428625</xdr:colOff>
                    <xdr:row>41</xdr:row>
                    <xdr:rowOff>123825</xdr:rowOff>
                  </from>
                  <to>
                    <xdr:col>2</xdr:col>
                    <xdr:colOff>790575</xdr:colOff>
                    <xdr:row>43</xdr:row>
                    <xdr:rowOff>19050</xdr:rowOff>
                  </to>
                </anchor>
              </controlPr>
            </control>
          </mc:Choice>
        </mc:AlternateContent>
        <mc:AlternateContent xmlns:mc="http://schemas.openxmlformats.org/markup-compatibility/2006">
          <mc:Choice Requires="x14">
            <control shapeId="30752" r:id="rId16" name="Check Box 6">
              <controlPr locked="0" defaultSize="0" autoFill="0" autoLine="0" autoPict="0">
                <anchor moveWithCells="1">
                  <from>
                    <xdr:col>3</xdr:col>
                    <xdr:colOff>28575</xdr:colOff>
                    <xdr:row>41</xdr:row>
                    <xdr:rowOff>123825</xdr:rowOff>
                  </from>
                  <to>
                    <xdr:col>3</xdr:col>
                    <xdr:colOff>390525</xdr:colOff>
                    <xdr:row>43</xdr:row>
                    <xdr:rowOff>19050</xdr:rowOff>
                  </to>
                </anchor>
              </controlPr>
            </control>
          </mc:Choice>
        </mc:AlternateContent>
        <mc:AlternateContent xmlns:mc="http://schemas.openxmlformats.org/markup-compatibility/2006">
          <mc:Choice Requires="x14">
            <control shapeId="30753" r:id="rId17" name="Check Box 7">
              <controlPr locked="0" defaultSize="0" autoFill="0" autoLine="0" autoPict="0">
                <anchor moveWithCells="1">
                  <from>
                    <xdr:col>3</xdr:col>
                    <xdr:colOff>428625</xdr:colOff>
                    <xdr:row>41</xdr:row>
                    <xdr:rowOff>123825</xdr:rowOff>
                  </from>
                  <to>
                    <xdr:col>3</xdr:col>
                    <xdr:colOff>790575</xdr:colOff>
                    <xdr:row>43</xdr:row>
                    <xdr:rowOff>19050</xdr:rowOff>
                  </to>
                </anchor>
              </controlPr>
            </control>
          </mc:Choice>
        </mc:AlternateContent>
        <mc:AlternateContent xmlns:mc="http://schemas.openxmlformats.org/markup-compatibility/2006">
          <mc:Choice Requires="x14">
            <control shapeId="30754" r:id="rId18" name="Check Box 8">
              <controlPr locked="0" defaultSize="0" autoFill="0" autoLine="0" autoPict="0">
                <anchor moveWithCells="1">
                  <from>
                    <xdr:col>4</xdr:col>
                    <xdr:colOff>28575</xdr:colOff>
                    <xdr:row>41</xdr:row>
                    <xdr:rowOff>123825</xdr:rowOff>
                  </from>
                  <to>
                    <xdr:col>4</xdr:col>
                    <xdr:colOff>390525</xdr:colOff>
                    <xdr:row>43</xdr:row>
                    <xdr:rowOff>19050</xdr:rowOff>
                  </to>
                </anchor>
              </controlPr>
            </control>
          </mc:Choice>
        </mc:AlternateContent>
        <mc:AlternateContent xmlns:mc="http://schemas.openxmlformats.org/markup-compatibility/2006">
          <mc:Choice Requires="x14">
            <control shapeId="30755" r:id="rId19" name="Check Box 9">
              <controlPr locked="0" defaultSize="0" autoFill="0" autoLine="0" autoPict="0">
                <anchor moveWithCells="1">
                  <from>
                    <xdr:col>4</xdr:col>
                    <xdr:colOff>428625</xdr:colOff>
                    <xdr:row>41</xdr:row>
                    <xdr:rowOff>123825</xdr:rowOff>
                  </from>
                  <to>
                    <xdr:col>4</xdr:col>
                    <xdr:colOff>790575</xdr:colOff>
                    <xdr:row>43</xdr:row>
                    <xdr:rowOff>19050</xdr:rowOff>
                  </to>
                </anchor>
              </controlPr>
            </control>
          </mc:Choice>
        </mc:AlternateContent>
        <mc:AlternateContent xmlns:mc="http://schemas.openxmlformats.org/markup-compatibility/2006">
          <mc:Choice Requires="x14">
            <control shapeId="30756" r:id="rId20" name="Check Box 10">
              <controlPr locked="0" defaultSize="0" autoFill="0" autoLine="0" autoPict="0">
                <anchor moveWithCells="1">
                  <from>
                    <xdr:col>5</xdr:col>
                    <xdr:colOff>28575</xdr:colOff>
                    <xdr:row>41</xdr:row>
                    <xdr:rowOff>123825</xdr:rowOff>
                  </from>
                  <to>
                    <xdr:col>5</xdr:col>
                    <xdr:colOff>390525</xdr:colOff>
                    <xdr:row>43</xdr:row>
                    <xdr:rowOff>19050</xdr:rowOff>
                  </to>
                </anchor>
              </controlPr>
            </control>
          </mc:Choice>
        </mc:AlternateContent>
        <mc:AlternateContent xmlns:mc="http://schemas.openxmlformats.org/markup-compatibility/2006">
          <mc:Choice Requires="x14">
            <control shapeId="30757" r:id="rId21" name="Check Box 11">
              <controlPr locked="0" defaultSize="0" autoFill="0" autoLine="0" autoPict="0">
                <anchor moveWithCells="1">
                  <from>
                    <xdr:col>5</xdr:col>
                    <xdr:colOff>428625</xdr:colOff>
                    <xdr:row>41</xdr:row>
                    <xdr:rowOff>123825</xdr:rowOff>
                  </from>
                  <to>
                    <xdr:col>5</xdr:col>
                    <xdr:colOff>790575</xdr:colOff>
                    <xdr:row>43</xdr:row>
                    <xdr:rowOff>19050</xdr:rowOff>
                  </to>
                </anchor>
              </controlPr>
            </control>
          </mc:Choice>
        </mc:AlternateContent>
        <mc:AlternateContent xmlns:mc="http://schemas.openxmlformats.org/markup-compatibility/2006">
          <mc:Choice Requires="x14">
            <control shapeId="30759" r:id="rId22" name="Check Box 22">
              <controlPr locked="0" defaultSize="0" autoFill="0" autoLine="0" autoPict="0">
                <anchor moveWithCells="1">
                  <from>
                    <xdr:col>7</xdr:col>
                    <xdr:colOff>28575</xdr:colOff>
                    <xdr:row>51</xdr:row>
                    <xdr:rowOff>123825</xdr:rowOff>
                  </from>
                  <to>
                    <xdr:col>7</xdr:col>
                    <xdr:colOff>390525</xdr:colOff>
                    <xdr:row>53</xdr:row>
                    <xdr:rowOff>19050</xdr:rowOff>
                  </to>
                </anchor>
              </controlPr>
            </control>
          </mc:Choice>
        </mc:AlternateContent>
        <mc:AlternateContent xmlns:mc="http://schemas.openxmlformats.org/markup-compatibility/2006">
          <mc:Choice Requires="x14">
            <control shapeId="30760" r:id="rId23" name="Check Box 23">
              <controlPr locked="0" defaultSize="0" autoFill="0" autoLine="0" autoPict="0">
                <anchor moveWithCells="1">
                  <from>
                    <xdr:col>7</xdr:col>
                    <xdr:colOff>428625</xdr:colOff>
                    <xdr:row>51</xdr:row>
                    <xdr:rowOff>123825</xdr:rowOff>
                  </from>
                  <to>
                    <xdr:col>7</xdr:col>
                    <xdr:colOff>790575</xdr:colOff>
                    <xdr:row>53</xdr:row>
                    <xdr:rowOff>19050</xdr:rowOff>
                  </to>
                </anchor>
              </controlPr>
            </control>
          </mc:Choice>
        </mc:AlternateContent>
        <mc:AlternateContent xmlns:mc="http://schemas.openxmlformats.org/markup-compatibility/2006">
          <mc:Choice Requires="x14">
            <control shapeId="30761" r:id="rId24" name="Check Box 20">
              <controlPr locked="0" defaultSize="0" autoFill="0" autoLine="0" autoPict="0">
                <anchor moveWithCells="1">
                  <from>
                    <xdr:col>5</xdr:col>
                    <xdr:colOff>28575</xdr:colOff>
                    <xdr:row>51</xdr:row>
                    <xdr:rowOff>123825</xdr:rowOff>
                  </from>
                  <to>
                    <xdr:col>5</xdr:col>
                    <xdr:colOff>390525</xdr:colOff>
                    <xdr:row>53</xdr:row>
                    <xdr:rowOff>19050</xdr:rowOff>
                  </to>
                </anchor>
              </controlPr>
            </control>
          </mc:Choice>
        </mc:AlternateContent>
        <mc:AlternateContent xmlns:mc="http://schemas.openxmlformats.org/markup-compatibility/2006">
          <mc:Choice Requires="x14">
            <control shapeId="30762" r:id="rId25" name="Check Box 21">
              <controlPr locked="0" defaultSize="0" autoFill="0" autoLine="0" autoPict="0">
                <anchor moveWithCells="1">
                  <from>
                    <xdr:col>5</xdr:col>
                    <xdr:colOff>428625</xdr:colOff>
                    <xdr:row>51</xdr:row>
                    <xdr:rowOff>123825</xdr:rowOff>
                  </from>
                  <to>
                    <xdr:col>5</xdr:col>
                    <xdr:colOff>790575</xdr:colOff>
                    <xdr:row>53</xdr:row>
                    <xdr:rowOff>19050</xdr:rowOff>
                  </to>
                </anchor>
              </controlPr>
            </control>
          </mc:Choice>
        </mc:AlternateContent>
        <mc:AlternateContent xmlns:mc="http://schemas.openxmlformats.org/markup-compatibility/2006">
          <mc:Choice Requires="x14">
            <control shapeId="30765" r:id="rId26" name="Check Box 45">
              <controlPr locked="0" defaultSize="0" autoFill="0" autoLine="0" autoPict="0">
                <anchor moveWithCells="1">
                  <from>
                    <xdr:col>2</xdr:col>
                    <xdr:colOff>428625</xdr:colOff>
                    <xdr:row>53</xdr:row>
                    <xdr:rowOff>123825</xdr:rowOff>
                  </from>
                  <to>
                    <xdr:col>2</xdr:col>
                    <xdr:colOff>790575</xdr:colOff>
                    <xdr:row>55</xdr:row>
                    <xdr:rowOff>19050</xdr:rowOff>
                  </to>
                </anchor>
              </controlPr>
            </control>
          </mc:Choice>
        </mc:AlternateContent>
        <mc:AlternateContent xmlns:mc="http://schemas.openxmlformats.org/markup-compatibility/2006">
          <mc:Choice Requires="x14">
            <control shapeId="30766" r:id="rId27" name="Check Box 46">
              <controlPr locked="0" defaultSize="0" autoFill="0" autoLine="0" autoPict="0">
                <anchor moveWithCells="1">
                  <from>
                    <xdr:col>3</xdr:col>
                    <xdr:colOff>19050</xdr:colOff>
                    <xdr:row>53</xdr:row>
                    <xdr:rowOff>123825</xdr:rowOff>
                  </from>
                  <to>
                    <xdr:col>3</xdr:col>
                    <xdr:colOff>381000</xdr:colOff>
                    <xdr:row>55</xdr:row>
                    <xdr:rowOff>19050</xdr:rowOff>
                  </to>
                </anchor>
              </controlPr>
            </control>
          </mc:Choice>
        </mc:AlternateContent>
        <mc:AlternateContent xmlns:mc="http://schemas.openxmlformats.org/markup-compatibility/2006">
          <mc:Choice Requires="x14">
            <control shapeId="30773" r:id="rId28" name="Check Box 53">
              <controlPr locked="0" defaultSize="0" autoFill="0" autoLine="0" autoPict="0">
                <anchor moveWithCells="1">
                  <from>
                    <xdr:col>2</xdr:col>
                    <xdr:colOff>428625</xdr:colOff>
                    <xdr:row>54</xdr:row>
                    <xdr:rowOff>123825</xdr:rowOff>
                  </from>
                  <to>
                    <xdr:col>2</xdr:col>
                    <xdr:colOff>790575</xdr:colOff>
                    <xdr:row>56</xdr:row>
                    <xdr:rowOff>19050</xdr:rowOff>
                  </to>
                </anchor>
              </controlPr>
            </control>
          </mc:Choice>
        </mc:AlternateContent>
        <mc:AlternateContent xmlns:mc="http://schemas.openxmlformats.org/markup-compatibility/2006">
          <mc:Choice Requires="x14">
            <control shapeId="30774" r:id="rId29" name="Check Box 54">
              <controlPr locked="0" defaultSize="0" autoFill="0" autoLine="0" autoPict="0">
                <anchor moveWithCells="1">
                  <from>
                    <xdr:col>3</xdr:col>
                    <xdr:colOff>19050</xdr:colOff>
                    <xdr:row>54</xdr:row>
                    <xdr:rowOff>123825</xdr:rowOff>
                  </from>
                  <to>
                    <xdr:col>3</xdr:col>
                    <xdr:colOff>381000</xdr:colOff>
                    <xdr:row>56</xdr:row>
                    <xdr:rowOff>19050</xdr:rowOff>
                  </to>
                </anchor>
              </controlPr>
            </control>
          </mc:Choice>
        </mc:AlternateContent>
        <mc:AlternateContent xmlns:mc="http://schemas.openxmlformats.org/markup-compatibility/2006">
          <mc:Choice Requires="x14">
            <control shapeId="30777" r:id="rId30" name="Check Box 57">
              <controlPr locked="0" defaultSize="0" autoFill="0" autoLine="0" autoPict="0">
                <anchor moveWithCells="1">
                  <from>
                    <xdr:col>6</xdr:col>
                    <xdr:colOff>28575</xdr:colOff>
                    <xdr:row>41</xdr:row>
                    <xdr:rowOff>123825</xdr:rowOff>
                  </from>
                  <to>
                    <xdr:col>6</xdr:col>
                    <xdr:colOff>390525</xdr:colOff>
                    <xdr:row>43</xdr:row>
                    <xdr:rowOff>19050</xdr:rowOff>
                  </to>
                </anchor>
              </controlPr>
            </control>
          </mc:Choice>
        </mc:AlternateContent>
        <mc:AlternateContent xmlns:mc="http://schemas.openxmlformats.org/markup-compatibility/2006">
          <mc:Choice Requires="x14">
            <control shapeId="30778" r:id="rId31" name="Check Box 58">
              <controlPr locked="0" defaultSize="0" autoFill="0" autoLine="0" autoPict="0">
                <anchor moveWithCells="1">
                  <from>
                    <xdr:col>6</xdr:col>
                    <xdr:colOff>428625</xdr:colOff>
                    <xdr:row>41</xdr:row>
                    <xdr:rowOff>123825</xdr:rowOff>
                  </from>
                  <to>
                    <xdr:col>6</xdr:col>
                    <xdr:colOff>790575</xdr:colOff>
                    <xdr:row>43</xdr:row>
                    <xdr:rowOff>19050</xdr:rowOff>
                  </to>
                </anchor>
              </controlPr>
            </control>
          </mc:Choice>
        </mc:AlternateContent>
        <mc:AlternateContent xmlns:mc="http://schemas.openxmlformats.org/markup-compatibility/2006">
          <mc:Choice Requires="x14">
            <control shapeId="30779" r:id="rId32" name="Check Box 59">
              <controlPr locked="0" defaultSize="0" autoFill="0" autoLine="0" autoPict="0">
                <anchor moveWithCells="1">
                  <from>
                    <xdr:col>2</xdr:col>
                    <xdr:colOff>28575</xdr:colOff>
                    <xdr:row>56</xdr:row>
                    <xdr:rowOff>123825</xdr:rowOff>
                  </from>
                  <to>
                    <xdr:col>2</xdr:col>
                    <xdr:colOff>390525</xdr:colOff>
                    <xdr:row>58</xdr:row>
                    <xdr:rowOff>9525</xdr:rowOff>
                  </to>
                </anchor>
              </controlPr>
            </control>
          </mc:Choice>
        </mc:AlternateContent>
        <mc:AlternateContent xmlns:mc="http://schemas.openxmlformats.org/markup-compatibility/2006">
          <mc:Choice Requires="x14">
            <control shapeId="30780" r:id="rId33" name="Check Box 60">
              <controlPr locked="0" defaultSize="0" autoFill="0" autoLine="0" autoPict="0">
                <anchor moveWithCells="1">
                  <from>
                    <xdr:col>2</xdr:col>
                    <xdr:colOff>428625</xdr:colOff>
                    <xdr:row>56</xdr:row>
                    <xdr:rowOff>123825</xdr:rowOff>
                  </from>
                  <to>
                    <xdr:col>2</xdr:col>
                    <xdr:colOff>790575</xdr:colOff>
                    <xdr:row>58</xdr:row>
                    <xdr:rowOff>9525</xdr:rowOff>
                  </to>
                </anchor>
              </controlPr>
            </control>
          </mc:Choice>
        </mc:AlternateContent>
        <mc:AlternateContent xmlns:mc="http://schemas.openxmlformats.org/markup-compatibility/2006">
          <mc:Choice Requires="x14">
            <control shapeId="30781" r:id="rId34" name="Check Box 61">
              <controlPr locked="0" defaultSize="0" autoFill="0" autoLine="0" autoPict="0">
                <anchor moveWithCells="1">
                  <from>
                    <xdr:col>3</xdr:col>
                    <xdr:colOff>352425</xdr:colOff>
                    <xdr:row>56</xdr:row>
                    <xdr:rowOff>123825</xdr:rowOff>
                  </from>
                  <to>
                    <xdr:col>3</xdr:col>
                    <xdr:colOff>790575</xdr:colOff>
                    <xdr:row>58</xdr:row>
                    <xdr:rowOff>9525</xdr:rowOff>
                  </to>
                </anchor>
              </controlPr>
            </control>
          </mc:Choice>
        </mc:AlternateContent>
        <mc:AlternateContent xmlns:mc="http://schemas.openxmlformats.org/markup-compatibility/2006">
          <mc:Choice Requires="x14">
            <control shapeId="30782" r:id="rId35" name="Check Box 62">
              <controlPr locked="0" defaultSize="0" autoFill="0" autoLine="0" autoPict="0">
                <anchor moveWithCells="1">
                  <from>
                    <xdr:col>4</xdr:col>
                    <xdr:colOff>19050</xdr:colOff>
                    <xdr:row>56</xdr:row>
                    <xdr:rowOff>123825</xdr:rowOff>
                  </from>
                  <to>
                    <xdr:col>4</xdr:col>
                    <xdr:colOff>657225</xdr:colOff>
                    <xdr:row>58</xdr:row>
                    <xdr:rowOff>9525</xdr:rowOff>
                  </to>
                </anchor>
              </controlPr>
            </control>
          </mc:Choice>
        </mc:AlternateContent>
        <mc:AlternateContent xmlns:mc="http://schemas.openxmlformats.org/markup-compatibility/2006">
          <mc:Choice Requires="x14">
            <control shapeId="30787" r:id="rId36" name="Label 67">
              <controlPr locked="0" defaultSize="0" autoFill="0" autoPict="0">
                <anchor moveWithCells="1">
                  <from>
                    <xdr:col>0</xdr:col>
                    <xdr:colOff>95250</xdr:colOff>
                    <xdr:row>106</xdr:row>
                    <xdr:rowOff>19050</xdr:rowOff>
                  </from>
                  <to>
                    <xdr:col>7</xdr:col>
                    <xdr:colOff>733425</xdr:colOff>
                    <xdr:row>108</xdr:row>
                    <xdr:rowOff>104775</xdr:rowOff>
                  </to>
                </anchor>
              </controlPr>
            </control>
          </mc:Choice>
        </mc:AlternateContent>
        <mc:AlternateContent xmlns:mc="http://schemas.openxmlformats.org/markup-compatibility/2006">
          <mc:Choice Requires="x14">
            <control shapeId="30793" r:id="rId37" name="Check Box 73">
              <controlPr locked="0" defaultSize="0" autoFill="0" autoLine="0" autoPict="0">
                <anchor moveWithCells="1">
                  <from>
                    <xdr:col>2</xdr:col>
                    <xdr:colOff>28575</xdr:colOff>
                    <xdr:row>75</xdr:row>
                    <xdr:rowOff>123825</xdr:rowOff>
                  </from>
                  <to>
                    <xdr:col>2</xdr:col>
                    <xdr:colOff>428625</xdr:colOff>
                    <xdr:row>77</xdr:row>
                    <xdr:rowOff>19050</xdr:rowOff>
                  </to>
                </anchor>
              </controlPr>
            </control>
          </mc:Choice>
        </mc:AlternateContent>
        <mc:AlternateContent xmlns:mc="http://schemas.openxmlformats.org/markup-compatibility/2006">
          <mc:Choice Requires="x14">
            <control shapeId="30794" r:id="rId38" name="Check Box 74">
              <controlPr locked="0" defaultSize="0" autoFill="0" autoLine="0" autoPict="0">
                <anchor moveWithCells="1">
                  <from>
                    <xdr:col>2</xdr:col>
                    <xdr:colOff>371475</xdr:colOff>
                    <xdr:row>75</xdr:row>
                    <xdr:rowOff>123825</xdr:rowOff>
                  </from>
                  <to>
                    <xdr:col>2</xdr:col>
                    <xdr:colOff>771525</xdr:colOff>
                    <xdr:row>77</xdr:row>
                    <xdr:rowOff>19050</xdr:rowOff>
                  </to>
                </anchor>
              </controlPr>
            </control>
          </mc:Choice>
        </mc:AlternateContent>
        <mc:AlternateContent xmlns:mc="http://schemas.openxmlformats.org/markup-compatibility/2006">
          <mc:Choice Requires="x14">
            <control shapeId="30795" r:id="rId39" name="Check Box 75">
              <controlPr locked="0" defaultSize="0" autoFill="0" autoLine="0" autoPict="0">
                <anchor moveWithCells="1">
                  <from>
                    <xdr:col>2</xdr:col>
                    <xdr:colOff>723900</xdr:colOff>
                    <xdr:row>75</xdr:row>
                    <xdr:rowOff>123825</xdr:rowOff>
                  </from>
                  <to>
                    <xdr:col>3</xdr:col>
                    <xdr:colOff>314325</xdr:colOff>
                    <xdr:row>77</xdr:row>
                    <xdr:rowOff>19050</xdr:rowOff>
                  </to>
                </anchor>
              </controlPr>
            </control>
          </mc:Choice>
        </mc:AlternateContent>
        <mc:AlternateContent xmlns:mc="http://schemas.openxmlformats.org/markup-compatibility/2006">
          <mc:Choice Requires="x14">
            <control shapeId="30796" r:id="rId40" name="Check Box 76">
              <controlPr locked="0" defaultSize="0" autoFill="0" autoLine="0" autoPict="0">
                <anchor moveWithCells="1">
                  <from>
                    <xdr:col>3</xdr:col>
                    <xdr:colOff>257175</xdr:colOff>
                    <xdr:row>75</xdr:row>
                    <xdr:rowOff>123825</xdr:rowOff>
                  </from>
                  <to>
                    <xdr:col>3</xdr:col>
                    <xdr:colOff>657225</xdr:colOff>
                    <xdr:row>77</xdr:row>
                    <xdr:rowOff>19050</xdr:rowOff>
                  </to>
                </anchor>
              </controlPr>
            </control>
          </mc:Choice>
        </mc:AlternateContent>
        <mc:AlternateContent xmlns:mc="http://schemas.openxmlformats.org/markup-compatibility/2006">
          <mc:Choice Requires="x14">
            <control shapeId="30797" r:id="rId41" name="Check Box 77">
              <controlPr locked="0" defaultSize="0" autoFill="0" autoLine="0" autoPict="0">
                <anchor moveWithCells="1">
                  <from>
                    <xdr:col>3</xdr:col>
                    <xdr:colOff>609600</xdr:colOff>
                    <xdr:row>75</xdr:row>
                    <xdr:rowOff>123825</xdr:rowOff>
                  </from>
                  <to>
                    <xdr:col>4</xdr:col>
                    <xdr:colOff>200025</xdr:colOff>
                    <xdr:row>77</xdr:row>
                    <xdr:rowOff>19050</xdr:rowOff>
                  </to>
                </anchor>
              </controlPr>
            </control>
          </mc:Choice>
        </mc:AlternateContent>
        <mc:AlternateContent xmlns:mc="http://schemas.openxmlformats.org/markup-compatibility/2006">
          <mc:Choice Requires="x14">
            <control shapeId="30798" r:id="rId42" name="Check Box 78">
              <controlPr locked="0" defaultSize="0" autoFill="0" autoLine="0" autoPict="0">
                <anchor moveWithCells="1">
                  <from>
                    <xdr:col>4</xdr:col>
                    <xdr:colOff>142875</xdr:colOff>
                    <xdr:row>75</xdr:row>
                    <xdr:rowOff>123825</xdr:rowOff>
                  </from>
                  <to>
                    <xdr:col>4</xdr:col>
                    <xdr:colOff>542925</xdr:colOff>
                    <xdr:row>77</xdr:row>
                    <xdr:rowOff>19050</xdr:rowOff>
                  </to>
                </anchor>
              </controlPr>
            </control>
          </mc:Choice>
        </mc:AlternateContent>
        <mc:AlternateContent xmlns:mc="http://schemas.openxmlformats.org/markup-compatibility/2006">
          <mc:Choice Requires="x14">
            <control shapeId="30799" r:id="rId43" name="Check Box 79">
              <controlPr locked="0" defaultSize="0" autoFill="0" autoLine="0" autoPict="0">
                <anchor moveWithCells="1">
                  <from>
                    <xdr:col>4</xdr:col>
                    <xdr:colOff>495300</xdr:colOff>
                    <xdr:row>75</xdr:row>
                    <xdr:rowOff>123825</xdr:rowOff>
                  </from>
                  <to>
                    <xdr:col>5</xdr:col>
                    <xdr:colOff>85725</xdr:colOff>
                    <xdr:row>77</xdr:row>
                    <xdr:rowOff>19050</xdr:rowOff>
                  </to>
                </anchor>
              </controlPr>
            </control>
          </mc:Choice>
        </mc:AlternateContent>
        <mc:AlternateContent xmlns:mc="http://schemas.openxmlformats.org/markup-compatibility/2006">
          <mc:Choice Requires="x14">
            <control shapeId="30800" r:id="rId44" name="Check Box 80">
              <controlPr locked="0" defaultSize="0" autoFill="0" autoLine="0" autoPict="0">
                <anchor moveWithCells="1">
                  <from>
                    <xdr:col>5</xdr:col>
                    <xdr:colOff>28575</xdr:colOff>
                    <xdr:row>75</xdr:row>
                    <xdr:rowOff>123825</xdr:rowOff>
                  </from>
                  <to>
                    <xdr:col>5</xdr:col>
                    <xdr:colOff>428625</xdr:colOff>
                    <xdr:row>77</xdr:row>
                    <xdr:rowOff>19050</xdr:rowOff>
                  </to>
                </anchor>
              </controlPr>
            </control>
          </mc:Choice>
        </mc:AlternateContent>
        <mc:AlternateContent xmlns:mc="http://schemas.openxmlformats.org/markup-compatibility/2006">
          <mc:Choice Requires="x14">
            <control shapeId="30815" r:id="rId45" name="Check Box 95">
              <controlPr locked="0" defaultSize="0" autoFill="0" autoLine="0" autoPict="0">
                <anchor moveWithCells="1">
                  <from>
                    <xdr:col>5</xdr:col>
                    <xdr:colOff>381000</xdr:colOff>
                    <xdr:row>75</xdr:row>
                    <xdr:rowOff>123825</xdr:rowOff>
                  </from>
                  <to>
                    <xdr:col>5</xdr:col>
                    <xdr:colOff>781050</xdr:colOff>
                    <xdr:row>77</xdr:row>
                    <xdr:rowOff>19050</xdr:rowOff>
                  </to>
                </anchor>
              </controlPr>
            </control>
          </mc:Choice>
        </mc:AlternateContent>
        <mc:AlternateContent xmlns:mc="http://schemas.openxmlformats.org/markup-compatibility/2006">
          <mc:Choice Requires="x14">
            <control shapeId="30816" r:id="rId46" name="Check Box 96">
              <controlPr locked="0" defaultSize="0" autoFill="0" autoLine="0" autoPict="0">
                <anchor moveWithCells="1">
                  <from>
                    <xdr:col>2</xdr:col>
                    <xdr:colOff>28575</xdr:colOff>
                    <xdr:row>77</xdr:row>
                    <xdr:rowOff>123825</xdr:rowOff>
                  </from>
                  <to>
                    <xdr:col>2</xdr:col>
                    <xdr:colOff>428625</xdr:colOff>
                    <xdr:row>79</xdr:row>
                    <xdr:rowOff>19050</xdr:rowOff>
                  </to>
                </anchor>
              </controlPr>
            </control>
          </mc:Choice>
        </mc:AlternateContent>
        <mc:AlternateContent xmlns:mc="http://schemas.openxmlformats.org/markup-compatibility/2006">
          <mc:Choice Requires="x14">
            <control shapeId="30817" r:id="rId47" name="Check Box 97">
              <controlPr locked="0" defaultSize="0" autoFill="0" autoLine="0" autoPict="0">
                <anchor moveWithCells="1">
                  <from>
                    <xdr:col>2</xdr:col>
                    <xdr:colOff>371475</xdr:colOff>
                    <xdr:row>77</xdr:row>
                    <xdr:rowOff>123825</xdr:rowOff>
                  </from>
                  <to>
                    <xdr:col>2</xdr:col>
                    <xdr:colOff>771525</xdr:colOff>
                    <xdr:row>79</xdr:row>
                    <xdr:rowOff>19050</xdr:rowOff>
                  </to>
                </anchor>
              </controlPr>
            </control>
          </mc:Choice>
        </mc:AlternateContent>
        <mc:AlternateContent xmlns:mc="http://schemas.openxmlformats.org/markup-compatibility/2006">
          <mc:Choice Requires="x14">
            <control shapeId="30818" r:id="rId48" name="Check Box 98">
              <controlPr locked="0" defaultSize="0" autoFill="0" autoLine="0" autoPict="0">
                <anchor moveWithCells="1">
                  <from>
                    <xdr:col>2</xdr:col>
                    <xdr:colOff>723900</xdr:colOff>
                    <xdr:row>77</xdr:row>
                    <xdr:rowOff>123825</xdr:rowOff>
                  </from>
                  <to>
                    <xdr:col>3</xdr:col>
                    <xdr:colOff>314325</xdr:colOff>
                    <xdr:row>79</xdr:row>
                    <xdr:rowOff>19050</xdr:rowOff>
                  </to>
                </anchor>
              </controlPr>
            </control>
          </mc:Choice>
        </mc:AlternateContent>
        <mc:AlternateContent xmlns:mc="http://schemas.openxmlformats.org/markup-compatibility/2006">
          <mc:Choice Requires="x14">
            <control shapeId="30819" r:id="rId49" name="Check Box 99">
              <controlPr locked="0" defaultSize="0" autoFill="0" autoLine="0" autoPict="0">
                <anchor moveWithCells="1">
                  <from>
                    <xdr:col>3</xdr:col>
                    <xdr:colOff>257175</xdr:colOff>
                    <xdr:row>77</xdr:row>
                    <xdr:rowOff>123825</xdr:rowOff>
                  </from>
                  <to>
                    <xdr:col>3</xdr:col>
                    <xdr:colOff>657225</xdr:colOff>
                    <xdr:row>79</xdr:row>
                    <xdr:rowOff>19050</xdr:rowOff>
                  </to>
                </anchor>
              </controlPr>
            </control>
          </mc:Choice>
        </mc:AlternateContent>
        <mc:AlternateContent xmlns:mc="http://schemas.openxmlformats.org/markup-compatibility/2006">
          <mc:Choice Requires="x14">
            <control shapeId="30820" r:id="rId50" name="Check Box 100">
              <controlPr locked="0" defaultSize="0" autoFill="0" autoLine="0" autoPict="0">
                <anchor moveWithCells="1">
                  <from>
                    <xdr:col>3</xdr:col>
                    <xdr:colOff>609600</xdr:colOff>
                    <xdr:row>77</xdr:row>
                    <xdr:rowOff>123825</xdr:rowOff>
                  </from>
                  <to>
                    <xdr:col>4</xdr:col>
                    <xdr:colOff>200025</xdr:colOff>
                    <xdr:row>79</xdr:row>
                    <xdr:rowOff>19050</xdr:rowOff>
                  </to>
                </anchor>
              </controlPr>
            </control>
          </mc:Choice>
        </mc:AlternateContent>
        <mc:AlternateContent xmlns:mc="http://schemas.openxmlformats.org/markup-compatibility/2006">
          <mc:Choice Requires="x14">
            <control shapeId="30821" r:id="rId51" name="Check Box 101">
              <controlPr locked="0" defaultSize="0" autoFill="0" autoLine="0" autoPict="0">
                <anchor moveWithCells="1">
                  <from>
                    <xdr:col>4</xdr:col>
                    <xdr:colOff>142875</xdr:colOff>
                    <xdr:row>77</xdr:row>
                    <xdr:rowOff>123825</xdr:rowOff>
                  </from>
                  <to>
                    <xdr:col>4</xdr:col>
                    <xdr:colOff>542925</xdr:colOff>
                    <xdr:row>79</xdr:row>
                    <xdr:rowOff>19050</xdr:rowOff>
                  </to>
                </anchor>
              </controlPr>
            </control>
          </mc:Choice>
        </mc:AlternateContent>
        <mc:AlternateContent xmlns:mc="http://schemas.openxmlformats.org/markup-compatibility/2006">
          <mc:Choice Requires="x14">
            <control shapeId="30822" r:id="rId52" name="Check Box 102">
              <controlPr locked="0" defaultSize="0" autoFill="0" autoLine="0" autoPict="0">
                <anchor moveWithCells="1">
                  <from>
                    <xdr:col>4</xdr:col>
                    <xdr:colOff>495300</xdr:colOff>
                    <xdr:row>77</xdr:row>
                    <xdr:rowOff>123825</xdr:rowOff>
                  </from>
                  <to>
                    <xdr:col>5</xdr:col>
                    <xdr:colOff>85725</xdr:colOff>
                    <xdr:row>79</xdr:row>
                    <xdr:rowOff>19050</xdr:rowOff>
                  </to>
                </anchor>
              </controlPr>
            </control>
          </mc:Choice>
        </mc:AlternateContent>
        <mc:AlternateContent xmlns:mc="http://schemas.openxmlformats.org/markup-compatibility/2006">
          <mc:Choice Requires="x14">
            <control shapeId="30823" r:id="rId53" name="Check Box 103">
              <controlPr locked="0" defaultSize="0" autoFill="0" autoLine="0" autoPict="0">
                <anchor moveWithCells="1">
                  <from>
                    <xdr:col>5</xdr:col>
                    <xdr:colOff>28575</xdr:colOff>
                    <xdr:row>77</xdr:row>
                    <xdr:rowOff>123825</xdr:rowOff>
                  </from>
                  <to>
                    <xdr:col>5</xdr:col>
                    <xdr:colOff>428625</xdr:colOff>
                    <xdr:row>79</xdr:row>
                    <xdr:rowOff>19050</xdr:rowOff>
                  </to>
                </anchor>
              </controlPr>
            </control>
          </mc:Choice>
        </mc:AlternateContent>
        <mc:AlternateContent xmlns:mc="http://schemas.openxmlformats.org/markup-compatibility/2006">
          <mc:Choice Requires="x14">
            <control shapeId="30824" r:id="rId54" name="Check Box 104">
              <controlPr locked="0" defaultSize="0" autoFill="0" autoLine="0" autoPict="0">
                <anchor moveWithCells="1">
                  <from>
                    <xdr:col>5</xdr:col>
                    <xdr:colOff>381000</xdr:colOff>
                    <xdr:row>77</xdr:row>
                    <xdr:rowOff>123825</xdr:rowOff>
                  </from>
                  <to>
                    <xdr:col>5</xdr:col>
                    <xdr:colOff>781050</xdr:colOff>
                    <xdr:row>79</xdr:row>
                    <xdr:rowOff>19050</xdr:rowOff>
                  </to>
                </anchor>
              </controlPr>
            </control>
          </mc:Choice>
        </mc:AlternateContent>
        <mc:AlternateContent xmlns:mc="http://schemas.openxmlformats.org/markup-compatibility/2006">
          <mc:Choice Requires="x14">
            <control shapeId="30825" r:id="rId55" name="Check Box 105">
              <controlPr locked="0" defaultSize="0" autoFill="0" autoLine="0" autoPict="0">
                <anchor moveWithCells="1">
                  <from>
                    <xdr:col>2</xdr:col>
                    <xdr:colOff>28575</xdr:colOff>
                    <xdr:row>79</xdr:row>
                    <xdr:rowOff>123825</xdr:rowOff>
                  </from>
                  <to>
                    <xdr:col>2</xdr:col>
                    <xdr:colOff>428625</xdr:colOff>
                    <xdr:row>81</xdr:row>
                    <xdr:rowOff>19050</xdr:rowOff>
                  </to>
                </anchor>
              </controlPr>
            </control>
          </mc:Choice>
        </mc:AlternateContent>
        <mc:AlternateContent xmlns:mc="http://schemas.openxmlformats.org/markup-compatibility/2006">
          <mc:Choice Requires="x14">
            <control shapeId="30826" r:id="rId56" name="Check Box 106">
              <controlPr locked="0" defaultSize="0" autoFill="0" autoLine="0" autoPict="0">
                <anchor moveWithCells="1">
                  <from>
                    <xdr:col>2</xdr:col>
                    <xdr:colOff>371475</xdr:colOff>
                    <xdr:row>79</xdr:row>
                    <xdr:rowOff>123825</xdr:rowOff>
                  </from>
                  <to>
                    <xdr:col>2</xdr:col>
                    <xdr:colOff>771525</xdr:colOff>
                    <xdr:row>81</xdr:row>
                    <xdr:rowOff>19050</xdr:rowOff>
                  </to>
                </anchor>
              </controlPr>
            </control>
          </mc:Choice>
        </mc:AlternateContent>
        <mc:AlternateContent xmlns:mc="http://schemas.openxmlformats.org/markup-compatibility/2006">
          <mc:Choice Requires="x14">
            <control shapeId="30827" r:id="rId57" name="Check Box 107">
              <controlPr locked="0" defaultSize="0" autoFill="0" autoLine="0" autoPict="0">
                <anchor moveWithCells="1">
                  <from>
                    <xdr:col>2</xdr:col>
                    <xdr:colOff>723900</xdr:colOff>
                    <xdr:row>79</xdr:row>
                    <xdr:rowOff>123825</xdr:rowOff>
                  </from>
                  <to>
                    <xdr:col>3</xdr:col>
                    <xdr:colOff>314325</xdr:colOff>
                    <xdr:row>81</xdr:row>
                    <xdr:rowOff>19050</xdr:rowOff>
                  </to>
                </anchor>
              </controlPr>
            </control>
          </mc:Choice>
        </mc:AlternateContent>
        <mc:AlternateContent xmlns:mc="http://schemas.openxmlformats.org/markup-compatibility/2006">
          <mc:Choice Requires="x14">
            <control shapeId="30828" r:id="rId58" name="Check Box 108">
              <controlPr locked="0" defaultSize="0" autoFill="0" autoLine="0" autoPict="0">
                <anchor moveWithCells="1">
                  <from>
                    <xdr:col>3</xdr:col>
                    <xdr:colOff>257175</xdr:colOff>
                    <xdr:row>79</xdr:row>
                    <xdr:rowOff>123825</xdr:rowOff>
                  </from>
                  <to>
                    <xdr:col>3</xdr:col>
                    <xdr:colOff>657225</xdr:colOff>
                    <xdr:row>81</xdr:row>
                    <xdr:rowOff>19050</xdr:rowOff>
                  </to>
                </anchor>
              </controlPr>
            </control>
          </mc:Choice>
        </mc:AlternateContent>
        <mc:AlternateContent xmlns:mc="http://schemas.openxmlformats.org/markup-compatibility/2006">
          <mc:Choice Requires="x14">
            <control shapeId="30829" r:id="rId59" name="Check Box 109">
              <controlPr locked="0" defaultSize="0" autoFill="0" autoLine="0" autoPict="0">
                <anchor moveWithCells="1">
                  <from>
                    <xdr:col>3</xdr:col>
                    <xdr:colOff>609600</xdr:colOff>
                    <xdr:row>79</xdr:row>
                    <xdr:rowOff>123825</xdr:rowOff>
                  </from>
                  <to>
                    <xdr:col>4</xdr:col>
                    <xdr:colOff>200025</xdr:colOff>
                    <xdr:row>81</xdr:row>
                    <xdr:rowOff>19050</xdr:rowOff>
                  </to>
                </anchor>
              </controlPr>
            </control>
          </mc:Choice>
        </mc:AlternateContent>
        <mc:AlternateContent xmlns:mc="http://schemas.openxmlformats.org/markup-compatibility/2006">
          <mc:Choice Requires="x14">
            <control shapeId="30830" r:id="rId60" name="Check Box 110">
              <controlPr locked="0" defaultSize="0" autoFill="0" autoLine="0" autoPict="0">
                <anchor moveWithCells="1">
                  <from>
                    <xdr:col>4</xdr:col>
                    <xdr:colOff>142875</xdr:colOff>
                    <xdr:row>79</xdr:row>
                    <xdr:rowOff>123825</xdr:rowOff>
                  </from>
                  <to>
                    <xdr:col>4</xdr:col>
                    <xdr:colOff>542925</xdr:colOff>
                    <xdr:row>81</xdr:row>
                    <xdr:rowOff>19050</xdr:rowOff>
                  </to>
                </anchor>
              </controlPr>
            </control>
          </mc:Choice>
        </mc:AlternateContent>
        <mc:AlternateContent xmlns:mc="http://schemas.openxmlformats.org/markup-compatibility/2006">
          <mc:Choice Requires="x14">
            <control shapeId="30831" r:id="rId61" name="Check Box 111">
              <controlPr locked="0" defaultSize="0" autoFill="0" autoLine="0" autoPict="0">
                <anchor moveWithCells="1">
                  <from>
                    <xdr:col>4</xdr:col>
                    <xdr:colOff>495300</xdr:colOff>
                    <xdr:row>79</xdr:row>
                    <xdr:rowOff>123825</xdr:rowOff>
                  </from>
                  <to>
                    <xdr:col>5</xdr:col>
                    <xdr:colOff>85725</xdr:colOff>
                    <xdr:row>81</xdr:row>
                    <xdr:rowOff>19050</xdr:rowOff>
                  </to>
                </anchor>
              </controlPr>
            </control>
          </mc:Choice>
        </mc:AlternateContent>
        <mc:AlternateContent xmlns:mc="http://schemas.openxmlformats.org/markup-compatibility/2006">
          <mc:Choice Requires="x14">
            <control shapeId="30832" r:id="rId62" name="Check Box 112">
              <controlPr locked="0" defaultSize="0" autoFill="0" autoLine="0" autoPict="0">
                <anchor moveWithCells="1">
                  <from>
                    <xdr:col>5</xdr:col>
                    <xdr:colOff>28575</xdr:colOff>
                    <xdr:row>79</xdr:row>
                    <xdr:rowOff>123825</xdr:rowOff>
                  </from>
                  <to>
                    <xdr:col>5</xdr:col>
                    <xdr:colOff>428625</xdr:colOff>
                    <xdr:row>81</xdr:row>
                    <xdr:rowOff>19050</xdr:rowOff>
                  </to>
                </anchor>
              </controlPr>
            </control>
          </mc:Choice>
        </mc:AlternateContent>
        <mc:AlternateContent xmlns:mc="http://schemas.openxmlformats.org/markup-compatibility/2006">
          <mc:Choice Requires="x14">
            <control shapeId="30833" r:id="rId63" name="Check Box 113">
              <controlPr locked="0" defaultSize="0" autoFill="0" autoLine="0" autoPict="0">
                <anchor moveWithCells="1">
                  <from>
                    <xdr:col>5</xdr:col>
                    <xdr:colOff>381000</xdr:colOff>
                    <xdr:row>79</xdr:row>
                    <xdr:rowOff>123825</xdr:rowOff>
                  </from>
                  <to>
                    <xdr:col>5</xdr:col>
                    <xdr:colOff>781050</xdr:colOff>
                    <xdr:row>81</xdr:row>
                    <xdr:rowOff>19050</xdr:rowOff>
                  </to>
                </anchor>
              </controlPr>
            </control>
          </mc:Choice>
        </mc:AlternateContent>
        <mc:AlternateContent xmlns:mc="http://schemas.openxmlformats.org/markup-compatibility/2006">
          <mc:Choice Requires="x14">
            <control shapeId="30834" r:id="rId64" name="Check Box 114">
              <controlPr locked="0" defaultSize="0" autoFill="0" autoLine="0" autoPict="0">
                <anchor moveWithCells="1">
                  <from>
                    <xdr:col>2</xdr:col>
                    <xdr:colOff>28575</xdr:colOff>
                    <xdr:row>81</xdr:row>
                    <xdr:rowOff>123825</xdr:rowOff>
                  </from>
                  <to>
                    <xdr:col>2</xdr:col>
                    <xdr:colOff>428625</xdr:colOff>
                    <xdr:row>83</xdr:row>
                    <xdr:rowOff>19050</xdr:rowOff>
                  </to>
                </anchor>
              </controlPr>
            </control>
          </mc:Choice>
        </mc:AlternateContent>
        <mc:AlternateContent xmlns:mc="http://schemas.openxmlformats.org/markup-compatibility/2006">
          <mc:Choice Requires="x14">
            <control shapeId="30835" r:id="rId65" name="Check Box 115">
              <controlPr locked="0" defaultSize="0" autoFill="0" autoLine="0" autoPict="0">
                <anchor moveWithCells="1">
                  <from>
                    <xdr:col>2</xdr:col>
                    <xdr:colOff>371475</xdr:colOff>
                    <xdr:row>81</xdr:row>
                    <xdr:rowOff>123825</xdr:rowOff>
                  </from>
                  <to>
                    <xdr:col>2</xdr:col>
                    <xdr:colOff>771525</xdr:colOff>
                    <xdr:row>83</xdr:row>
                    <xdr:rowOff>19050</xdr:rowOff>
                  </to>
                </anchor>
              </controlPr>
            </control>
          </mc:Choice>
        </mc:AlternateContent>
        <mc:AlternateContent xmlns:mc="http://schemas.openxmlformats.org/markup-compatibility/2006">
          <mc:Choice Requires="x14">
            <control shapeId="30836" r:id="rId66" name="Check Box 116">
              <controlPr locked="0" defaultSize="0" autoFill="0" autoLine="0" autoPict="0">
                <anchor moveWithCells="1">
                  <from>
                    <xdr:col>2</xdr:col>
                    <xdr:colOff>723900</xdr:colOff>
                    <xdr:row>81</xdr:row>
                    <xdr:rowOff>123825</xdr:rowOff>
                  </from>
                  <to>
                    <xdr:col>3</xdr:col>
                    <xdr:colOff>314325</xdr:colOff>
                    <xdr:row>83</xdr:row>
                    <xdr:rowOff>19050</xdr:rowOff>
                  </to>
                </anchor>
              </controlPr>
            </control>
          </mc:Choice>
        </mc:AlternateContent>
        <mc:AlternateContent xmlns:mc="http://schemas.openxmlformats.org/markup-compatibility/2006">
          <mc:Choice Requires="x14">
            <control shapeId="30837" r:id="rId67" name="Check Box 117">
              <controlPr locked="0" defaultSize="0" autoFill="0" autoLine="0" autoPict="0">
                <anchor moveWithCells="1">
                  <from>
                    <xdr:col>3</xdr:col>
                    <xdr:colOff>257175</xdr:colOff>
                    <xdr:row>81</xdr:row>
                    <xdr:rowOff>123825</xdr:rowOff>
                  </from>
                  <to>
                    <xdr:col>3</xdr:col>
                    <xdr:colOff>657225</xdr:colOff>
                    <xdr:row>83</xdr:row>
                    <xdr:rowOff>19050</xdr:rowOff>
                  </to>
                </anchor>
              </controlPr>
            </control>
          </mc:Choice>
        </mc:AlternateContent>
        <mc:AlternateContent xmlns:mc="http://schemas.openxmlformats.org/markup-compatibility/2006">
          <mc:Choice Requires="x14">
            <control shapeId="30838" r:id="rId68" name="Check Box 118">
              <controlPr locked="0" defaultSize="0" autoFill="0" autoLine="0" autoPict="0">
                <anchor moveWithCells="1">
                  <from>
                    <xdr:col>3</xdr:col>
                    <xdr:colOff>609600</xdr:colOff>
                    <xdr:row>81</xdr:row>
                    <xdr:rowOff>123825</xdr:rowOff>
                  </from>
                  <to>
                    <xdr:col>4</xdr:col>
                    <xdr:colOff>200025</xdr:colOff>
                    <xdr:row>83</xdr:row>
                    <xdr:rowOff>19050</xdr:rowOff>
                  </to>
                </anchor>
              </controlPr>
            </control>
          </mc:Choice>
        </mc:AlternateContent>
        <mc:AlternateContent xmlns:mc="http://schemas.openxmlformats.org/markup-compatibility/2006">
          <mc:Choice Requires="x14">
            <control shapeId="30839" r:id="rId69" name="Check Box 119">
              <controlPr locked="0" defaultSize="0" autoFill="0" autoLine="0" autoPict="0">
                <anchor moveWithCells="1">
                  <from>
                    <xdr:col>4</xdr:col>
                    <xdr:colOff>142875</xdr:colOff>
                    <xdr:row>81</xdr:row>
                    <xdr:rowOff>123825</xdr:rowOff>
                  </from>
                  <to>
                    <xdr:col>4</xdr:col>
                    <xdr:colOff>542925</xdr:colOff>
                    <xdr:row>83</xdr:row>
                    <xdr:rowOff>19050</xdr:rowOff>
                  </to>
                </anchor>
              </controlPr>
            </control>
          </mc:Choice>
        </mc:AlternateContent>
        <mc:AlternateContent xmlns:mc="http://schemas.openxmlformats.org/markup-compatibility/2006">
          <mc:Choice Requires="x14">
            <control shapeId="30840" r:id="rId70" name="Check Box 120">
              <controlPr locked="0" defaultSize="0" autoFill="0" autoLine="0" autoPict="0">
                <anchor moveWithCells="1">
                  <from>
                    <xdr:col>4</xdr:col>
                    <xdr:colOff>495300</xdr:colOff>
                    <xdr:row>81</xdr:row>
                    <xdr:rowOff>123825</xdr:rowOff>
                  </from>
                  <to>
                    <xdr:col>5</xdr:col>
                    <xdr:colOff>85725</xdr:colOff>
                    <xdr:row>83</xdr:row>
                    <xdr:rowOff>19050</xdr:rowOff>
                  </to>
                </anchor>
              </controlPr>
            </control>
          </mc:Choice>
        </mc:AlternateContent>
        <mc:AlternateContent xmlns:mc="http://schemas.openxmlformats.org/markup-compatibility/2006">
          <mc:Choice Requires="x14">
            <control shapeId="30841" r:id="rId71" name="Check Box 121">
              <controlPr locked="0" defaultSize="0" autoFill="0" autoLine="0" autoPict="0">
                <anchor moveWithCells="1">
                  <from>
                    <xdr:col>5</xdr:col>
                    <xdr:colOff>28575</xdr:colOff>
                    <xdr:row>81</xdr:row>
                    <xdr:rowOff>123825</xdr:rowOff>
                  </from>
                  <to>
                    <xdr:col>5</xdr:col>
                    <xdr:colOff>428625</xdr:colOff>
                    <xdr:row>83</xdr:row>
                    <xdr:rowOff>19050</xdr:rowOff>
                  </to>
                </anchor>
              </controlPr>
            </control>
          </mc:Choice>
        </mc:AlternateContent>
        <mc:AlternateContent xmlns:mc="http://schemas.openxmlformats.org/markup-compatibility/2006">
          <mc:Choice Requires="x14">
            <control shapeId="30842" r:id="rId72" name="Check Box 122">
              <controlPr locked="0" defaultSize="0" autoFill="0" autoLine="0" autoPict="0">
                <anchor moveWithCells="1">
                  <from>
                    <xdr:col>5</xdr:col>
                    <xdr:colOff>381000</xdr:colOff>
                    <xdr:row>81</xdr:row>
                    <xdr:rowOff>123825</xdr:rowOff>
                  </from>
                  <to>
                    <xdr:col>5</xdr:col>
                    <xdr:colOff>781050</xdr:colOff>
                    <xdr:row>83</xdr:row>
                    <xdr:rowOff>19050</xdr:rowOff>
                  </to>
                </anchor>
              </controlPr>
            </control>
          </mc:Choice>
        </mc:AlternateContent>
        <mc:AlternateContent xmlns:mc="http://schemas.openxmlformats.org/markup-compatibility/2006">
          <mc:Choice Requires="x14">
            <control shapeId="30843" r:id="rId73" name="Check Box 123">
              <controlPr locked="0" defaultSize="0" autoFill="0" autoLine="0" autoPict="0">
                <anchor moveWithCells="1">
                  <from>
                    <xdr:col>2</xdr:col>
                    <xdr:colOff>28575</xdr:colOff>
                    <xdr:row>83</xdr:row>
                    <xdr:rowOff>123825</xdr:rowOff>
                  </from>
                  <to>
                    <xdr:col>2</xdr:col>
                    <xdr:colOff>428625</xdr:colOff>
                    <xdr:row>85</xdr:row>
                    <xdr:rowOff>19050</xdr:rowOff>
                  </to>
                </anchor>
              </controlPr>
            </control>
          </mc:Choice>
        </mc:AlternateContent>
        <mc:AlternateContent xmlns:mc="http://schemas.openxmlformats.org/markup-compatibility/2006">
          <mc:Choice Requires="x14">
            <control shapeId="30844" r:id="rId74" name="Check Box 124">
              <controlPr locked="0" defaultSize="0" autoFill="0" autoLine="0" autoPict="0">
                <anchor moveWithCells="1">
                  <from>
                    <xdr:col>2</xdr:col>
                    <xdr:colOff>371475</xdr:colOff>
                    <xdr:row>83</xdr:row>
                    <xdr:rowOff>123825</xdr:rowOff>
                  </from>
                  <to>
                    <xdr:col>2</xdr:col>
                    <xdr:colOff>771525</xdr:colOff>
                    <xdr:row>85</xdr:row>
                    <xdr:rowOff>19050</xdr:rowOff>
                  </to>
                </anchor>
              </controlPr>
            </control>
          </mc:Choice>
        </mc:AlternateContent>
        <mc:AlternateContent xmlns:mc="http://schemas.openxmlformats.org/markup-compatibility/2006">
          <mc:Choice Requires="x14">
            <control shapeId="30845" r:id="rId75" name="Check Box 125">
              <controlPr locked="0" defaultSize="0" autoFill="0" autoLine="0" autoPict="0">
                <anchor moveWithCells="1">
                  <from>
                    <xdr:col>2</xdr:col>
                    <xdr:colOff>723900</xdr:colOff>
                    <xdr:row>83</xdr:row>
                    <xdr:rowOff>123825</xdr:rowOff>
                  </from>
                  <to>
                    <xdr:col>3</xdr:col>
                    <xdr:colOff>314325</xdr:colOff>
                    <xdr:row>85</xdr:row>
                    <xdr:rowOff>19050</xdr:rowOff>
                  </to>
                </anchor>
              </controlPr>
            </control>
          </mc:Choice>
        </mc:AlternateContent>
        <mc:AlternateContent xmlns:mc="http://schemas.openxmlformats.org/markup-compatibility/2006">
          <mc:Choice Requires="x14">
            <control shapeId="30846" r:id="rId76" name="Check Box 126">
              <controlPr locked="0" defaultSize="0" autoFill="0" autoLine="0" autoPict="0">
                <anchor moveWithCells="1">
                  <from>
                    <xdr:col>3</xdr:col>
                    <xdr:colOff>257175</xdr:colOff>
                    <xdr:row>83</xdr:row>
                    <xdr:rowOff>123825</xdr:rowOff>
                  </from>
                  <to>
                    <xdr:col>3</xdr:col>
                    <xdr:colOff>657225</xdr:colOff>
                    <xdr:row>85</xdr:row>
                    <xdr:rowOff>19050</xdr:rowOff>
                  </to>
                </anchor>
              </controlPr>
            </control>
          </mc:Choice>
        </mc:AlternateContent>
        <mc:AlternateContent xmlns:mc="http://schemas.openxmlformats.org/markup-compatibility/2006">
          <mc:Choice Requires="x14">
            <control shapeId="30847" r:id="rId77" name="Check Box 127">
              <controlPr locked="0" defaultSize="0" autoFill="0" autoLine="0" autoPict="0">
                <anchor moveWithCells="1">
                  <from>
                    <xdr:col>3</xdr:col>
                    <xdr:colOff>609600</xdr:colOff>
                    <xdr:row>83</xdr:row>
                    <xdr:rowOff>123825</xdr:rowOff>
                  </from>
                  <to>
                    <xdr:col>4</xdr:col>
                    <xdr:colOff>200025</xdr:colOff>
                    <xdr:row>85</xdr:row>
                    <xdr:rowOff>19050</xdr:rowOff>
                  </to>
                </anchor>
              </controlPr>
            </control>
          </mc:Choice>
        </mc:AlternateContent>
        <mc:AlternateContent xmlns:mc="http://schemas.openxmlformats.org/markup-compatibility/2006">
          <mc:Choice Requires="x14">
            <control shapeId="30848" r:id="rId78" name="Check Box 128">
              <controlPr locked="0" defaultSize="0" autoFill="0" autoLine="0" autoPict="0">
                <anchor moveWithCells="1">
                  <from>
                    <xdr:col>4</xdr:col>
                    <xdr:colOff>142875</xdr:colOff>
                    <xdr:row>83</xdr:row>
                    <xdr:rowOff>123825</xdr:rowOff>
                  </from>
                  <to>
                    <xdr:col>4</xdr:col>
                    <xdr:colOff>542925</xdr:colOff>
                    <xdr:row>85</xdr:row>
                    <xdr:rowOff>19050</xdr:rowOff>
                  </to>
                </anchor>
              </controlPr>
            </control>
          </mc:Choice>
        </mc:AlternateContent>
        <mc:AlternateContent xmlns:mc="http://schemas.openxmlformats.org/markup-compatibility/2006">
          <mc:Choice Requires="x14">
            <control shapeId="30849" r:id="rId79" name="Check Box 129">
              <controlPr locked="0" defaultSize="0" autoFill="0" autoLine="0" autoPict="0">
                <anchor moveWithCells="1">
                  <from>
                    <xdr:col>4</xdr:col>
                    <xdr:colOff>495300</xdr:colOff>
                    <xdr:row>83</xdr:row>
                    <xdr:rowOff>123825</xdr:rowOff>
                  </from>
                  <to>
                    <xdr:col>5</xdr:col>
                    <xdr:colOff>85725</xdr:colOff>
                    <xdr:row>85</xdr:row>
                    <xdr:rowOff>19050</xdr:rowOff>
                  </to>
                </anchor>
              </controlPr>
            </control>
          </mc:Choice>
        </mc:AlternateContent>
        <mc:AlternateContent xmlns:mc="http://schemas.openxmlformats.org/markup-compatibility/2006">
          <mc:Choice Requires="x14">
            <control shapeId="30850" r:id="rId80" name="Check Box 130">
              <controlPr locked="0" defaultSize="0" autoFill="0" autoLine="0" autoPict="0">
                <anchor moveWithCells="1">
                  <from>
                    <xdr:col>5</xdr:col>
                    <xdr:colOff>28575</xdr:colOff>
                    <xdr:row>83</xdr:row>
                    <xdr:rowOff>123825</xdr:rowOff>
                  </from>
                  <to>
                    <xdr:col>5</xdr:col>
                    <xdr:colOff>428625</xdr:colOff>
                    <xdr:row>85</xdr:row>
                    <xdr:rowOff>19050</xdr:rowOff>
                  </to>
                </anchor>
              </controlPr>
            </control>
          </mc:Choice>
        </mc:AlternateContent>
        <mc:AlternateContent xmlns:mc="http://schemas.openxmlformats.org/markup-compatibility/2006">
          <mc:Choice Requires="x14">
            <control shapeId="30851" r:id="rId81" name="Check Box 131">
              <controlPr locked="0" defaultSize="0" autoFill="0" autoLine="0" autoPict="0">
                <anchor moveWithCells="1">
                  <from>
                    <xdr:col>5</xdr:col>
                    <xdr:colOff>381000</xdr:colOff>
                    <xdr:row>83</xdr:row>
                    <xdr:rowOff>123825</xdr:rowOff>
                  </from>
                  <to>
                    <xdr:col>5</xdr:col>
                    <xdr:colOff>781050</xdr:colOff>
                    <xdr:row>85</xdr:row>
                    <xdr:rowOff>19050</xdr:rowOff>
                  </to>
                </anchor>
              </controlPr>
            </control>
          </mc:Choice>
        </mc:AlternateContent>
        <mc:AlternateContent xmlns:mc="http://schemas.openxmlformats.org/markup-compatibility/2006">
          <mc:Choice Requires="x14">
            <control shapeId="30852" r:id="rId82" name="Check Box 132">
              <controlPr locked="0" defaultSize="0" autoFill="0" autoLine="0" autoPict="0">
                <anchor moveWithCells="1">
                  <from>
                    <xdr:col>2</xdr:col>
                    <xdr:colOff>28575</xdr:colOff>
                    <xdr:row>85</xdr:row>
                    <xdr:rowOff>123825</xdr:rowOff>
                  </from>
                  <to>
                    <xdr:col>2</xdr:col>
                    <xdr:colOff>428625</xdr:colOff>
                    <xdr:row>87</xdr:row>
                    <xdr:rowOff>19050</xdr:rowOff>
                  </to>
                </anchor>
              </controlPr>
            </control>
          </mc:Choice>
        </mc:AlternateContent>
        <mc:AlternateContent xmlns:mc="http://schemas.openxmlformats.org/markup-compatibility/2006">
          <mc:Choice Requires="x14">
            <control shapeId="30853" r:id="rId83" name="Check Box 133">
              <controlPr locked="0" defaultSize="0" autoFill="0" autoLine="0" autoPict="0">
                <anchor moveWithCells="1">
                  <from>
                    <xdr:col>2</xdr:col>
                    <xdr:colOff>371475</xdr:colOff>
                    <xdr:row>85</xdr:row>
                    <xdr:rowOff>123825</xdr:rowOff>
                  </from>
                  <to>
                    <xdr:col>2</xdr:col>
                    <xdr:colOff>771525</xdr:colOff>
                    <xdr:row>87</xdr:row>
                    <xdr:rowOff>19050</xdr:rowOff>
                  </to>
                </anchor>
              </controlPr>
            </control>
          </mc:Choice>
        </mc:AlternateContent>
        <mc:AlternateContent xmlns:mc="http://schemas.openxmlformats.org/markup-compatibility/2006">
          <mc:Choice Requires="x14">
            <control shapeId="30854" r:id="rId84" name="Check Box 134">
              <controlPr locked="0" defaultSize="0" autoFill="0" autoLine="0" autoPict="0">
                <anchor moveWithCells="1">
                  <from>
                    <xdr:col>2</xdr:col>
                    <xdr:colOff>723900</xdr:colOff>
                    <xdr:row>85</xdr:row>
                    <xdr:rowOff>123825</xdr:rowOff>
                  </from>
                  <to>
                    <xdr:col>3</xdr:col>
                    <xdr:colOff>314325</xdr:colOff>
                    <xdr:row>87</xdr:row>
                    <xdr:rowOff>19050</xdr:rowOff>
                  </to>
                </anchor>
              </controlPr>
            </control>
          </mc:Choice>
        </mc:AlternateContent>
        <mc:AlternateContent xmlns:mc="http://schemas.openxmlformats.org/markup-compatibility/2006">
          <mc:Choice Requires="x14">
            <control shapeId="30855" r:id="rId85" name="Check Box 135">
              <controlPr locked="0" defaultSize="0" autoFill="0" autoLine="0" autoPict="0">
                <anchor moveWithCells="1">
                  <from>
                    <xdr:col>3</xdr:col>
                    <xdr:colOff>257175</xdr:colOff>
                    <xdr:row>85</xdr:row>
                    <xdr:rowOff>123825</xdr:rowOff>
                  </from>
                  <to>
                    <xdr:col>3</xdr:col>
                    <xdr:colOff>657225</xdr:colOff>
                    <xdr:row>87</xdr:row>
                    <xdr:rowOff>19050</xdr:rowOff>
                  </to>
                </anchor>
              </controlPr>
            </control>
          </mc:Choice>
        </mc:AlternateContent>
        <mc:AlternateContent xmlns:mc="http://schemas.openxmlformats.org/markup-compatibility/2006">
          <mc:Choice Requires="x14">
            <control shapeId="30856" r:id="rId86" name="Check Box 136">
              <controlPr locked="0" defaultSize="0" autoFill="0" autoLine="0" autoPict="0">
                <anchor moveWithCells="1">
                  <from>
                    <xdr:col>3</xdr:col>
                    <xdr:colOff>609600</xdr:colOff>
                    <xdr:row>85</xdr:row>
                    <xdr:rowOff>123825</xdr:rowOff>
                  </from>
                  <to>
                    <xdr:col>4</xdr:col>
                    <xdr:colOff>200025</xdr:colOff>
                    <xdr:row>87</xdr:row>
                    <xdr:rowOff>19050</xdr:rowOff>
                  </to>
                </anchor>
              </controlPr>
            </control>
          </mc:Choice>
        </mc:AlternateContent>
        <mc:AlternateContent xmlns:mc="http://schemas.openxmlformats.org/markup-compatibility/2006">
          <mc:Choice Requires="x14">
            <control shapeId="30857" r:id="rId87" name="Check Box 137">
              <controlPr locked="0" defaultSize="0" autoFill="0" autoLine="0" autoPict="0">
                <anchor moveWithCells="1">
                  <from>
                    <xdr:col>4</xdr:col>
                    <xdr:colOff>142875</xdr:colOff>
                    <xdr:row>85</xdr:row>
                    <xdr:rowOff>123825</xdr:rowOff>
                  </from>
                  <to>
                    <xdr:col>4</xdr:col>
                    <xdr:colOff>542925</xdr:colOff>
                    <xdr:row>87</xdr:row>
                    <xdr:rowOff>19050</xdr:rowOff>
                  </to>
                </anchor>
              </controlPr>
            </control>
          </mc:Choice>
        </mc:AlternateContent>
        <mc:AlternateContent xmlns:mc="http://schemas.openxmlformats.org/markup-compatibility/2006">
          <mc:Choice Requires="x14">
            <control shapeId="30858" r:id="rId88" name="Check Box 138">
              <controlPr locked="0" defaultSize="0" autoFill="0" autoLine="0" autoPict="0">
                <anchor moveWithCells="1">
                  <from>
                    <xdr:col>4</xdr:col>
                    <xdr:colOff>495300</xdr:colOff>
                    <xdr:row>85</xdr:row>
                    <xdr:rowOff>123825</xdr:rowOff>
                  </from>
                  <to>
                    <xdr:col>5</xdr:col>
                    <xdr:colOff>85725</xdr:colOff>
                    <xdr:row>87</xdr:row>
                    <xdr:rowOff>19050</xdr:rowOff>
                  </to>
                </anchor>
              </controlPr>
            </control>
          </mc:Choice>
        </mc:AlternateContent>
        <mc:AlternateContent xmlns:mc="http://schemas.openxmlformats.org/markup-compatibility/2006">
          <mc:Choice Requires="x14">
            <control shapeId="30859" r:id="rId89" name="Check Box 139">
              <controlPr locked="0" defaultSize="0" autoFill="0" autoLine="0" autoPict="0">
                <anchor moveWithCells="1">
                  <from>
                    <xdr:col>5</xdr:col>
                    <xdr:colOff>28575</xdr:colOff>
                    <xdr:row>85</xdr:row>
                    <xdr:rowOff>123825</xdr:rowOff>
                  </from>
                  <to>
                    <xdr:col>5</xdr:col>
                    <xdr:colOff>428625</xdr:colOff>
                    <xdr:row>87</xdr:row>
                    <xdr:rowOff>19050</xdr:rowOff>
                  </to>
                </anchor>
              </controlPr>
            </control>
          </mc:Choice>
        </mc:AlternateContent>
        <mc:AlternateContent xmlns:mc="http://schemas.openxmlformats.org/markup-compatibility/2006">
          <mc:Choice Requires="x14">
            <control shapeId="30860" r:id="rId90" name="Check Box 140">
              <controlPr locked="0" defaultSize="0" autoFill="0" autoLine="0" autoPict="0">
                <anchor moveWithCells="1">
                  <from>
                    <xdr:col>5</xdr:col>
                    <xdr:colOff>381000</xdr:colOff>
                    <xdr:row>85</xdr:row>
                    <xdr:rowOff>123825</xdr:rowOff>
                  </from>
                  <to>
                    <xdr:col>5</xdr:col>
                    <xdr:colOff>781050</xdr:colOff>
                    <xdr:row>87</xdr:row>
                    <xdr:rowOff>19050</xdr:rowOff>
                  </to>
                </anchor>
              </controlPr>
            </control>
          </mc:Choice>
        </mc:AlternateContent>
        <mc:AlternateContent xmlns:mc="http://schemas.openxmlformats.org/markup-compatibility/2006">
          <mc:Choice Requires="x14">
            <control shapeId="30861" r:id="rId91" name="Check Box 141">
              <controlPr locked="0" defaultSize="0" autoFill="0" autoLine="0" autoPict="0">
                <anchor moveWithCells="1">
                  <from>
                    <xdr:col>2</xdr:col>
                    <xdr:colOff>28575</xdr:colOff>
                    <xdr:row>87</xdr:row>
                    <xdr:rowOff>123825</xdr:rowOff>
                  </from>
                  <to>
                    <xdr:col>2</xdr:col>
                    <xdr:colOff>428625</xdr:colOff>
                    <xdr:row>89</xdr:row>
                    <xdr:rowOff>19050</xdr:rowOff>
                  </to>
                </anchor>
              </controlPr>
            </control>
          </mc:Choice>
        </mc:AlternateContent>
        <mc:AlternateContent xmlns:mc="http://schemas.openxmlformats.org/markup-compatibility/2006">
          <mc:Choice Requires="x14">
            <control shapeId="30862" r:id="rId92" name="Check Box 142">
              <controlPr locked="0" defaultSize="0" autoFill="0" autoLine="0" autoPict="0">
                <anchor moveWithCells="1">
                  <from>
                    <xdr:col>2</xdr:col>
                    <xdr:colOff>371475</xdr:colOff>
                    <xdr:row>87</xdr:row>
                    <xdr:rowOff>123825</xdr:rowOff>
                  </from>
                  <to>
                    <xdr:col>2</xdr:col>
                    <xdr:colOff>771525</xdr:colOff>
                    <xdr:row>89</xdr:row>
                    <xdr:rowOff>19050</xdr:rowOff>
                  </to>
                </anchor>
              </controlPr>
            </control>
          </mc:Choice>
        </mc:AlternateContent>
        <mc:AlternateContent xmlns:mc="http://schemas.openxmlformats.org/markup-compatibility/2006">
          <mc:Choice Requires="x14">
            <control shapeId="30863" r:id="rId93" name="Check Box 143">
              <controlPr locked="0" defaultSize="0" autoFill="0" autoLine="0" autoPict="0">
                <anchor moveWithCells="1">
                  <from>
                    <xdr:col>2</xdr:col>
                    <xdr:colOff>723900</xdr:colOff>
                    <xdr:row>87</xdr:row>
                    <xdr:rowOff>123825</xdr:rowOff>
                  </from>
                  <to>
                    <xdr:col>3</xdr:col>
                    <xdr:colOff>314325</xdr:colOff>
                    <xdr:row>89</xdr:row>
                    <xdr:rowOff>19050</xdr:rowOff>
                  </to>
                </anchor>
              </controlPr>
            </control>
          </mc:Choice>
        </mc:AlternateContent>
        <mc:AlternateContent xmlns:mc="http://schemas.openxmlformats.org/markup-compatibility/2006">
          <mc:Choice Requires="x14">
            <control shapeId="30864" r:id="rId94" name="Check Box 144">
              <controlPr locked="0" defaultSize="0" autoFill="0" autoLine="0" autoPict="0">
                <anchor moveWithCells="1">
                  <from>
                    <xdr:col>3</xdr:col>
                    <xdr:colOff>257175</xdr:colOff>
                    <xdr:row>87</xdr:row>
                    <xdr:rowOff>123825</xdr:rowOff>
                  </from>
                  <to>
                    <xdr:col>3</xdr:col>
                    <xdr:colOff>657225</xdr:colOff>
                    <xdr:row>89</xdr:row>
                    <xdr:rowOff>19050</xdr:rowOff>
                  </to>
                </anchor>
              </controlPr>
            </control>
          </mc:Choice>
        </mc:AlternateContent>
        <mc:AlternateContent xmlns:mc="http://schemas.openxmlformats.org/markup-compatibility/2006">
          <mc:Choice Requires="x14">
            <control shapeId="30865" r:id="rId95" name="Check Box 145">
              <controlPr locked="0" defaultSize="0" autoFill="0" autoLine="0" autoPict="0">
                <anchor moveWithCells="1">
                  <from>
                    <xdr:col>3</xdr:col>
                    <xdr:colOff>609600</xdr:colOff>
                    <xdr:row>87</xdr:row>
                    <xdr:rowOff>123825</xdr:rowOff>
                  </from>
                  <to>
                    <xdr:col>4</xdr:col>
                    <xdr:colOff>200025</xdr:colOff>
                    <xdr:row>89</xdr:row>
                    <xdr:rowOff>19050</xdr:rowOff>
                  </to>
                </anchor>
              </controlPr>
            </control>
          </mc:Choice>
        </mc:AlternateContent>
        <mc:AlternateContent xmlns:mc="http://schemas.openxmlformats.org/markup-compatibility/2006">
          <mc:Choice Requires="x14">
            <control shapeId="30866" r:id="rId96" name="Check Box 146">
              <controlPr locked="0" defaultSize="0" autoFill="0" autoLine="0" autoPict="0">
                <anchor moveWithCells="1">
                  <from>
                    <xdr:col>4</xdr:col>
                    <xdr:colOff>142875</xdr:colOff>
                    <xdr:row>87</xdr:row>
                    <xdr:rowOff>123825</xdr:rowOff>
                  </from>
                  <to>
                    <xdr:col>4</xdr:col>
                    <xdr:colOff>542925</xdr:colOff>
                    <xdr:row>89</xdr:row>
                    <xdr:rowOff>19050</xdr:rowOff>
                  </to>
                </anchor>
              </controlPr>
            </control>
          </mc:Choice>
        </mc:AlternateContent>
        <mc:AlternateContent xmlns:mc="http://schemas.openxmlformats.org/markup-compatibility/2006">
          <mc:Choice Requires="x14">
            <control shapeId="30867" r:id="rId97" name="Check Box 147">
              <controlPr locked="0" defaultSize="0" autoFill="0" autoLine="0" autoPict="0">
                <anchor moveWithCells="1">
                  <from>
                    <xdr:col>4</xdr:col>
                    <xdr:colOff>495300</xdr:colOff>
                    <xdr:row>87</xdr:row>
                    <xdr:rowOff>123825</xdr:rowOff>
                  </from>
                  <to>
                    <xdr:col>5</xdr:col>
                    <xdr:colOff>85725</xdr:colOff>
                    <xdr:row>89</xdr:row>
                    <xdr:rowOff>19050</xdr:rowOff>
                  </to>
                </anchor>
              </controlPr>
            </control>
          </mc:Choice>
        </mc:AlternateContent>
        <mc:AlternateContent xmlns:mc="http://schemas.openxmlformats.org/markup-compatibility/2006">
          <mc:Choice Requires="x14">
            <control shapeId="30868" r:id="rId98" name="Check Box 148">
              <controlPr locked="0" defaultSize="0" autoFill="0" autoLine="0" autoPict="0">
                <anchor moveWithCells="1">
                  <from>
                    <xdr:col>5</xdr:col>
                    <xdr:colOff>28575</xdr:colOff>
                    <xdr:row>87</xdr:row>
                    <xdr:rowOff>123825</xdr:rowOff>
                  </from>
                  <to>
                    <xdr:col>5</xdr:col>
                    <xdr:colOff>428625</xdr:colOff>
                    <xdr:row>89</xdr:row>
                    <xdr:rowOff>19050</xdr:rowOff>
                  </to>
                </anchor>
              </controlPr>
            </control>
          </mc:Choice>
        </mc:AlternateContent>
        <mc:AlternateContent xmlns:mc="http://schemas.openxmlformats.org/markup-compatibility/2006">
          <mc:Choice Requires="x14">
            <control shapeId="30869" r:id="rId99" name="Check Box 149">
              <controlPr locked="0" defaultSize="0" autoFill="0" autoLine="0" autoPict="0">
                <anchor moveWithCells="1">
                  <from>
                    <xdr:col>5</xdr:col>
                    <xdr:colOff>381000</xdr:colOff>
                    <xdr:row>87</xdr:row>
                    <xdr:rowOff>123825</xdr:rowOff>
                  </from>
                  <to>
                    <xdr:col>5</xdr:col>
                    <xdr:colOff>781050</xdr:colOff>
                    <xdr:row>89</xdr:row>
                    <xdr:rowOff>19050</xdr:rowOff>
                  </to>
                </anchor>
              </controlPr>
            </control>
          </mc:Choice>
        </mc:AlternateContent>
        <mc:AlternateContent xmlns:mc="http://schemas.openxmlformats.org/markup-compatibility/2006">
          <mc:Choice Requires="x14">
            <control shapeId="30870" r:id="rId100" name="Check Box 150">
              <controlPr locked="0" defaultSize="0" autoFill="0" autoLine="0" autoPict="0">
                <anchor moveWithCells="1">
                  <from>
                    <xdr:col>2</xdr:col>
                    <xdr:colOff>28575</xdr:colOff>
                    <xdr:row>89</xdr:row>
                    <xdr:rowOff>123825</xdr:rowOff>
                  </from>
                  <to>
                    <xdr:col>2</xdr:col>
                    <xdr:colOff>428625</xdr:colOff>
                    <xdr:row>91</xdr:row>
                    <xdr:rowOff>19050</xdr:rowOff>
                  </to>
                </anchor>
              </controlPr>
            </control>
          </mc:Choice>
        </mc:AlternateContent>
        <mc:AlternateContent xmlns:mc="http://schemas.openxmlformats.org/markup-compatibility/2006">
          <mc:Choice Requires="x14">
            <control shapeId="30871" r:id="rId101" name="Check Box 151">
              <controlPr locked="0" defaultSize="0" autoFill="0" autoLine="0" autoPict="0">
                <anchor moveWithCells="1">
                  <from>
                    <xdr:col>2</xdr:col>
                    <xdr:colOff>371475</xdr:colOff>
                    <xdr:row>89</xdr:row>
                    <xdr:rowOff>123825</xdr:rowOff>
                  </from>
                  <to>
                    <xdr:col>2</xdr:col>
                    <xdr:colOff>771525</xdr:colOff>
                    <xdr:row>91</xdr:row>
                    <xdr:rowOff>19050</xdr:rowOff>
                  </to>
                </anchor>
              </controlPr>
            </control>
          </mc:Choice>
        </mc:AlternateContent>
        <mc:AlternateContent xmlns:mc="http://schemas.openxmlformats.org/markup-compatibility/2006">
          <mc:Choice Requires="x14">
            <control shapeId="30872" r:id="rId102" name="Check Box 152">
              <controlPr locked="0" defaultSize="0" autoFill="0" autoLine="0" autoPict="0">
                <anchor moveWithCells="1">
                  <from>
                    <xdr:col>2</xdr:col>
                    <xdr:colOff>723900</xdr:colOff>
                    <xdr:row>89</xdr:row>
                    <xdr:rowOff>123825</xdr:rowOff>
                  </from>
                  <to>
                    <xdr:col>3</xdr:col>
                    <xdr:colOff>314325</xdr:colOff>
                    <xdr:row>91</xdr:row>
                    <xdr:rowOff>19050</xdr:rowOff>
                  </to>
                </anchor>
              </controlPr>
            </control>
          </mc:Choice>
        </mc:AlternateContent>
        <mc:AlternateContent xmlns:mc="http://schemas.openxmlformats.org/markup-compatibility/2006">
          <mc:Choice Requires="x14">
            <control shapeId="30873" r:id="rId103" name="Check Box 153">
              <controlPr locked="0" defaultSize="0" autoFill="0" autoLine="0" autoPict="0">
                <anchor moveWithCells="1">
                  <from>
                    <xdr:col>3</xdr:col>
                    <xdr:colOff>257175</xdr:colOff>
                    <xdr:row>89</xdr:row>
                    <xdr:rowOff>123825</xdr:rowOff>
                  </from>
                  <to>
                    <xdr:col>3</xdr:col>
                    <xdr:colOff>657225</xdr:colOff>
                    <xdr:row>91</xdr:row>
                    <xdr:rowOff>19050</xdr:rowOff>
                  </to>
                </anchor>
              </controlPr>
            </control>
          </mc:Choice>
        </mc:AlternateContent>
        <mc:AlternateContent xmlns:mc="http://schemas.openxmlformats.org/markup-compatibility/2006">
          <mc:Choice Requires="x14">
            <control shapeId="30874" r:id="rId104" name="Check Box 154">
              <controlPr locked="0" defaultSize="0" autoFill="0" autoLine="0" autoPict="0">
                <anchor moveWithCells="1">
                  <from>
                    <xdr:col>3</xdr:col>
                    <xdr:colOff>609600</xdr:colOff>
                    <xdr:row>89</xdr:row>
                    <xdr:rowOff>123825</xdr:rowOff>
                  </from>
                  <to>
                    <xdr:col>4</xdr:col>
                    <xdr:colOff>200025</xdr:colOff>
                    <xdr:row>91</xdr:row>
                    <xdr:rowOff>19050</xdr:rowOff>
                  </to>
                </anchor>
              </controlPr>
            </control>
          </mc:Choice>
        </mc:AlternateContent>
        <mc:AlternateContent xmlns:mc="http://schemas.openxmlformats.org/markup-compatibility/2006">
          <mc:Choice Requires="x14">
            <control shapeId="30875" r:id="rId105" name="Check Box 155">
              <controlPr locked="0" defaultSize="0" autoFill="0" autoLine="0" autoPict="0">
                <anchor moveWithCells="1">
                  <from>
                    <xdr:col>4</xdr:col>
                    <xdr:colOff>142875</xdr:colOff>
                    <xdr:row>89</xdr:row>
                    <xdr:rowOff>123825</xdr:rowOff>
                  </from>
                  <to>
                    <xdr:col>4</xdr:col>
                    <xdr:colOff>542925</xdr:colOff>
                    <xdr:row>91</xdr:row>
                    <xdr:rowOff>19050</xdr:rowOff>
                  </to>
                </anchor>
              </controlPr>
            </control>
          </mc:Choice>
        </mc:AlternateContent>
        <mc:AlternateContent xmlns:mc="http://schemas.openxmlformats.org/markup-compatibility/2006">
          <mc:Choice Requires="x14">
            <control shapeId="30876" r:id="rId106" name="Check Box 156">
              <controlPr locked="0" defaultSize="0" autoFill="0" autoLine="0" autoPict="0">
                <anchor moveWithCells="1">
                  <from>
                    <xdr:col>4</xdr:col>
                    <xdr:colOff>495300</xdr:colOff>
                    <xdr:row>89</xdr:row>
                    <xdr:rowOff>123825</xdr:rowOff>
                  </from>
                  <to>
                    <xdr:col>5</xdr:col>
                    <xdr:colOff>85725</xdr:colOff>
                    <xdr:row>91</xdr:row>
                    <xdr:rowOff>19050</xdr:rowOff>
                  </to>
                </anchor>
              </controlPr>
            </control>
          </mc:Choice>
        </mc:AlternateContent>
        <mc:AlternateContent xmlns:mc="http://schemas.openxmlformats.org/markup-compatibility/2006">
          <mc:Choice Requires="x14">
            <control shapeId="30877" r:id="rId107" name="Check Box 157">
              <controlPr locked="0" defaultSize="0" autoFill="0" autoLine="0" autoPict="0">
                <anchor moveWithCells="1">
                  <from>
                    <xdr:col>5</xdr:col>
                    <xdr:colOff>28575</xdr:colOff>
                    <xdr:row>89</xdr:row>
                    <xdr:rowOff>123825</xdr:rowOff>
                  </from>
                  <to>
                    <xdr:col>5</xdr:col>
                    <xdr:colOff>428625</xdr:colOff>
                    <xdr:row>91</xdr:row>
                    <xdr:rowOff>19050</xdr:rowOff>
                  </to>
                </anchor>
              </controlPr>
            </control>
          </mc:Choice>
        </mc:AlternateContent>
        <mc:AlternateContent xmlns:mc="http://schemas.openxmlformats.org/markup-compatibility/2006">
          <mc:Choice Requires="x14">
            <control shapeId="30878" r:id="rId108" name="Check Box 158">
              <controlPr locked="0" defaultSize="0" autoFill="0" autoLine="0" autoPict="0">
                <anchor moveWithCells="1">
                  <from>
                    <xdr:col>5</xdr:col>
                    <xdr:colOff>381000</xdr:colOff>
                    <xdr:row>89</xdr:row>
                    <xdr:rowOff>123825</xdr:rowOff>
                  </from>
                  <to>
                    <xdr:col>5</xdr:col>
                    <xdr:colOff>781050</xdr:colOff>
                    <xdr:row>91</xdr:row>
                    <xdr:rowOff>19050</xdr:rowOff>
                  </to>
                </anchor>
              </controlPr>
            </control>
          </mc:Choice>
        </mc:AlternateContent>
        <mc:AlternateContent xmlns:mc="http://schemas.openxmlformats.org/markup-compatibility/2006">
          <mc:Choice Requires="x14">
            <control shapeId="30879" r:id="rId109" name="Check Box 159">
              <controlPr locked="0" defaultSize="0" autoFill="0" autoLine="0" autoPict="0">
                <anchor moveWithCells="1">
                  <from>
                    <xdr:col>2</xdr:col>
                    <xdr:colOff>28575</xdr:colOff>
                    <xdr:row>91</xdr:row>
                    <xdr:rowOff>123825</xdr:rowOff>
                  </from>
                  <to>
                    <xdr:col>2</xdr:col>
                    <xdr:colOff>428625</xdr:colOff>
                    <xdr:row>93</xdr:row>
                    <xdr:rowOff>19050</xdr:rowOff>
                  </to>
                </anchor>
              </controlPr>
            </control>
          </mc:Choice>
        </mc:AlternateContent>
        <mc:AlternateContent xmlns:mc="http://schemas.openxmlformats.org/markup-compatibility/2006">
          <mc:Choice Requires="x14">
            <control shapeId="30880" r:id="rId110" name="Check Box 160">
              <controlPr locked="0" defaultSize="0" autoFill="0" autoLine="0" autoPict="0">
                <anchor moveWithCells="1">
                  <from>
                    <xdr:col>2</xdr:col>
                    <xdr:colOff>371475</xdr:colOff>
                    <xdr:row>91</xdr:row>
                    <xdr:rowOff>123825</xdr:rowOff>
                  </from>
                  <to>
                    <xdr:col>2</xdr:col>
                    <xdr:colOff>771525</xdr:colOff>
                    <xdr:row>93</xdr:row>
                    <xdr:rowOff>19050</xdr:rowOff>
                  </to>
                </anchor>
              </controlPr>
            </control>
          </mc:Choice>
        </mc:AlternateContent>
        <mc:AlternateContent xmlns:mc="http://schemas.openxmlformats.org/markup-compatibility/2006">
          <mc:Choice Requires="x14">
            <control shapeId="30881" r:id="rId111" name="Check Box 161">
              <controlPr locked="0" defaultSize="0" autoFill="0" autoLine="0" autoPict="0">
                <anchor moveWithCells="1">
                  <from>
                    <xdr:col>2</xdr:col>
                    <xdr:colOff>723900</xdr:colOff>
                    <xdr:row>91</xdr:row>
                    <xdr:rowOff>123825</xdr:rowOff>
                  </from>
                  <to>
                    <xdr:col>3</xdr:col>
                    <xdr:colOff>314325</xdr:colOff>
                    <xdr:row>93</xdr:row>
                    <xdr:rowOff>19050</xdr:rowOff>
                  </to>
                </anchor>
              </controlPr>
            </control>
          </mc:Choice>
        </mc:AlternateContent>
        <mc:AlternateContent xmlns:mc="http://schemas.openxmlformats.org/markup-compatibility/2006">
          <mc:Choice Requires="x14">
            <control shapeId="30882" r:id="rId112" name="Check Box 162">
              <controlPr locked="0" defaultSize="0" autoFill="0" autoLine="0" autoPict="0">
                <anchor moveWithCells="1">
                  <from>
                    <xdr:col>3</xdr:col>
                    <xdr:colOff>257175</xdr:colOff>
                    <xdr:row>91</xdr:row>
                    <xdr:rowOff>123825</xdr:rowOff>
                  </from>
                  <to>
                    <xdr:col>3</xdr:col>
                    <xdr:colOff>657225</xdr:colOff>
                    <xdr:row>93</xdr:row>
                    <xdr:rowOff>19050</xdr:rowOff>
                  </to>
                </anchor>
              </controlPr>
            </control>
          </mc:Choice>
        </mc:AlternateContent>
        <mc:AlternateContent xmlns:mc="http://schemas.openxmlformats.org/markup-compatibility/2006">
          <mc:Choice Requires="x14">
            <control shapeId="30883" r:id="rId113" name="Check Box 163">
              <controlPr locked="0" defaultSize="0" autoFill="0" autoLine="0" autoPict="0">
                <anchor moveWithCells="1">
                  <from>
                    <xdr:col>3</xdr:col>
                    <xdr:colOff>609600</xdr:colOff>
                    <xdr:row>91</xdr:row>
                    <xdr:rowOff>123825</xdr:rowOff>
                  </from>
                  <to>
                    <xdr:col>4</xdr:col>
                    <xdr:colOff>200025</xdr:colOff>
                    <xdr:row>93</xdr:row>
                    <xdr:rowOff>19050</xdr:rowOff>
                  </to>
                </anchor>
              </controlPr>
            </control>
          </mc:Choice>
        </mc:AlternateContent>
        <mc:AlternateContent xmlns:mc="http://schemas.openxmlformats.org/markup-compatibility/2006">
          <mc:Choice Requires="x14">
            <control shapeId="30884" r:id="rId114" name="Check Box 164">
              <controlPr locked="0" defaultSize="0" autoFill="0" autoLine="0" autoPict="0">
                <anchor moveWithCells="1">
                  <from>
                    <xdr:col>4</xdr:col>
                    <xdr:colOff>142875</xdr:colOff>
                    <xdr:row>91</xdr:row>
                    <xdr:rowOff>123825</xdr:rowOff>
                  </from>
                  <to>
                    <xdr:col>4</xdr:col>
                    <xdr:colOff>542925</xdr:colOff>
                    <xdr:row>93</xdr:row>
                    <xdr:rowOff>19050</xdr:rowOff>
                  </to>
                </anchor>
              </controlPr>
            </control>
          </mc:Choice>
        </mc:AlternateContent>
        <mc:AlternateContent xmlns:mc="http://schemas.openxmlformats.org/markup-compatibility/2006">
          <mc:Choice Requires="x14">
            <control shapeId="30885" r:id="rId115" name="Check Box 165">
              <controlPr locked="0" defaultSize="0" autoFill="0" autoLine="0" autoPict="0">
                <anchor moveWithCells="1">
                  <from>
                    <xdr:col>4</xdr:col>
                    <xdr:colOff>495300</xdr:colOff>
                    <xdr:row>91</xdr:row>
                    <xdr:rowOff>123825</xdr:rowOff>
                  </from>
                  <to>
                    <xdr:col>5</xdr:col>
                    <xdr:colOff>85725</xdr:colOff>
                    <xdr:row>93</xdr:row>
                    <xdr:rowOff>19050</xdr:rowOff>
                  </to>
                </anchor>
              </controlPr>
            </control>
          </mc:Choice>
        </mc:AlternateContent>
        <mc:AlternateContent xmlns:mc="http://schemas.openxmlformats.org/markup-compatibility/2006">
          <mc:Choice Requires="x14">
            <control shapeId="30886" r:id="rId116" name="Check Box 166">
              <controlPr locked="0" defaultSize="0" autoFill="0" autoLine="0" autoPict="0">
                <anchor moveWithCells="1">
                  <from>
                    <xdr:col>5</xdr:col>
                    <xdr:colOff>28575</xdr:colOff>
                    <xdr:row>91</xdr:row>
                    <xdr:rowOff>123825</xdr:rowOff>
                  </from>
                  <to>
                    <xdr:col>5</xdr:col>
                    <xdr:colOff>428625</xdr:colOff>
                    <xdr:row>93</xdr:row>
                    <xdr:rowOff>19050</xdr:rowOff>
                  </to>
                </anchor>
              </controlPr>
            </control>
          </mc:Choice>
        </mc:AlternateContent>
        <mc:AlternateContent xmlns:mc="http://schemas.openxmlformats.org/markup-compatibility/2006">
          <mc:Choice Requires="x14">
            <control shapeId="30887" r:id="rId117" name="Check Box 167">
              <controlPr locked="0" defaultSize="0" autoFill="0" autoLine="0" autoPict="0">
                <anchor moveWithCells="1">
                  <from>
                    <xdr:col>5</xdr:col>
                    <xdr:colOff>381000</xdr:colOff>
                    <xdr:row>91</xdr:row>
                    <xdr:rowOff>123825</xdr:rowOff>
                  </from>
                  <to>
                    <xdr:col>5</xdr:col>
                    <xdr:colOff>781050</xdr:colOff>
                    <xdr:row>93</xdr:row>
                    <xdr:rowOff>19050</xdr:rowOff>
                  </to>
                </anchor>
              </controlPr>
            </control>
          </mc:Choice>
        </mc:AlternateContent>
        <mc:AlternateContent xmlns:mc="http://schemas.openxmlformats.org/markup-compatibility/2006">
          <mc:Choice Requires="x14">
            <control shapeId="30888" r:id="rId118" name="Check Box 168">
              <controlPr locked="0" defaultSize="0" autoFill="0" autoLine="0" autoPict="0">
                <anchor moveWithCells="1">
                  <from>
                    <xdr:col>2</xdr:col>
                    <xdr:colOff>28575</xdr:colOff>
                    <xdr:row>93</xdr:row>
                    <xdr:rowOff>123825</xdr:rowOff>
                  </from>
                  <to>
                    <xdr:col>2</xdr:col>
                    <xdr:colOff>428625</xdr:colOff>
                    <xdr:row>95</xdr:row>
                    <xdr:rowOff>19050</xdr:rowOff>
                  </to>
                </anchor>
              </controlPr>
            </control>
          </mc:Choice>
        </mc:AlternateContent>
        <mc:AlternateContent xmlns:mc="http://schemas.openxmlformats.org/markup-compatibility/2006">
          <mc:Choice Requires="x14">
            <control shapeId="30889" r:id="rId119" name="Check Box 169">
              <controlPr locked="0" defaultSize="0" autoFill="0" autoLine="0" autoPict="0">
                <anchor moveWithCells="1">
                  <from>
                    <xdr:col>2</xdr:col>
                    <xdr:colOff>371475</xdr:colOff>
                    <xdr:row>93</xdr:row>
                    <xdr:rowOff>123825</xdr:rowOff>
                  </from>
                  <to>
                    <xdr:col>2</xdr:col>
                    <xdr:colOff>771525</xdr:colOff>
                    <xdr:row>95</xdr:row>
                    <xdr:rowOff>19050</xdr:rowOff>
                  </to>
                </anchor>
              </controlPr>
            </control>
          </mc:Choice>
        </mc:AlternateContent>
        <mc:AlternateContent xmlns:mc="http://schemas.openxmlformats.org/markup-compatibility/2006">
          <mc:Choice Requires="x14">
            <control shapeId="30890" r:id="rId120" name="Check Box 170">
              <controlPr locked="0" defaultSize="0" autoFill="0" autoLine="0" autoPict="0">
                <anchor moveWithCells="1">
                  <from>
                    <xdr:col>2</xdr:col>
                    <xdr:colOff>723900</xdr:colOff>
                    <xdr:row>93</xdr:row>
                    <xdr:rowOff>123825</xdr:rowOff>
                  </from>
                  <to>
                    <xdr:col>3</xdr:col>
                    <xdr:colOff>314325</xdr:colOff>
                    <xdr:row>95</xdr:row>
                    <xdr:rowOff>19050</xdr:rowOff>
                  </to>
                </anchor>
              </controlPr>
            </control>
          </mc:Choice>
        </mc:AlternateContent>
        <mc:AlternateContent xmlns:mc="http://schemas.openxmlformats.org/markup-compatibility/2006">
          <mc:Choice Requires="x14">
            <control shapeId="30891" r:id="rId121" name="Check Box 171">
              <controlPr locked="0" defaultSize="0" autoFill="0" autoLine="0" autoPict="0">
                <anchor moveWithCells="1">
                  <from>
                    <xdr:col>3</xdr:col>
                    <xdr:colOff>257175</xdr:colOff>
                    <xdr:row>93</xdr:row>
                    <xdr:rowOff>123825</xdr:rowOff>
                  </from>
                  <to>
                    <xdr:col>3</xdr:col>
                    <xdr:colOff>657225</xdr:colOff>
                    <xdr:row>95</xdr:row>
                    <xdr:rowOff>19050</xdr:rowOff>
                  </to>
                </anchor>
              </controlPr>
            </control>
          </mc:Choice>
        </mc:AlternateContent>
        <mc:AlternateContent xmlns:mc="http://schemas.openxmlformats.org/markup-compatibility/2006">
          <mc:Choice Requires="x14">
            <control shapeId="30892" r:id="rId122" name="Check Box 172">
              <controlPr locked="0" defaultSize="0" autoFill="0" autoLine="0" autoPict="0">
                <anchor moveWithCells="1">
                  <from>
                    <xdr:col>3</xdr:col>
                    <xdr:colOff>609600</xdr:colOff>
                    <xdr:row>93</xdr:row>
                    <xdr:rowOff>123825</xdr:rowOff>
                  </from>
                  <to>
                    <xdr:col>4</xdr:col>
                    <xdr:colOff>200025</xdr:colOff>
                    <xdr:row>95</xdr:row>
                    <xdr:rowOff>19050</xdr:rowOff>
                  </to>
                </anchor>
              </controlPr>
            </control>
          </mc:Choice>
        </mc:AlternateContent>
        <mc:AlternateContent xmlns:mc="http://schemas.openxmlformats.org/markup-compatibility/2006">
          <mc:Choice Requires="x14">
            <control shapeId="30893" r:id="rId123" name="Check Box 173">
              <controlPr locked="0" defaultSize="0" autoFill="0" autoLine="0" autoPict="0">
                <anchor moveWithCells="1">
                  <from>
                    <xdr:col>4</xdr:col>
                    <xdr:colOff>142875</xdr:colOff>
                    <xdr:row>93</xdr:row>
                    <xdr:rowOff>123825</xdr:rowOff>
                  </from>
                  <to>
                    <xdr:col>4</xdr:col>
                    <xdr:colOff>542925</xdr:colOff>
                    <xdr:row>95</xdr:row>
                    <xdr:rowOff>19050</xdr:rowOff>
                  </to>
                </anchor>
              </controlPr>
            </control>
          </mc:Choice>
        </mc:AlternateContent>
        <mc:AlternateContent xmlns:mc="http://schemas.openxmlformats.org/markup-compatibility/2006">
          <mc:Choice Requires="x14">
            <control shapeId="30894" r:id="rId124" name="Check Box 174">
              <controlPr locked="0" defaultSize="0" autoFill="0" autoLine="0" autoPict="0">
                <anchor moveWithCells="1">
                  <from>
                    <xdr:col>4</xdr:col>
                    <xdr:colOff>495300</xdr:colOff>
                    <xdr:row>93</xdr:row>
                    <xdr:rowOff>123825</xdr:rowOff>
                  </from>
                  <to>
                    <xdr:col>5</xdr:col>
                    <xdr:colOff>85725</xdr:colOff>
                    <xdr:row>95</xdr:row>
                    <xdr:rowOff>19050</xdr:rowOff>
                  </to>
                </anchor>
              </controlPr>
            </control>
          </mc:Choice>
        </mc:AlternateContent>
        <mc:AlternateContent xmlns:mc="http://schemas.openxmlformats.org/markup-compatibility/2006">
          <mc:Choice Requires="x14">
            <control shapeId="30895" r:id="rId125" name="Check Box 175">
              <controlPr locked="0" defaultSize="0" autoFill="0" autoLine="0" autoPict="0">
                <anchor moveWithCells="1">
                  <from>
                    <xdr:col>5</xdr:col>
                    <xdr:colOff>28575</xdr:colOff>
                    <xdr:row>93</xdr:row>
                    <xdr:rowOff>123825</xdr:rowOff>
                  </from>
                  <to>
                    <xdr:col>5</xdr:col>
                    <xdr:colOff>428625</xdr:colOff>
                    <xdr:row>95</xdr:row>
                    <xdr:rowOff>19050</xdr:rowOff>
                  </to>
                </anchor>
              </controlPr>
            </control>
          </mc:Choice>
        </mc:AlternateContent>
        <mc:AlternateContent xmlns:mc="http://schemas.openxmlformats.org/markup-compatibility/2006">
          <mc:Choice Requires="x14">
            <control shapeId="30896" r:id="rId126" name="Check Box 176">
              <controlPr locked="0" defaultSize="0" autoFill="0" autoLine="0" autoPict="0">
                <anchor moveWithCells="1">
                  <from>
                    <xdr:col>5</xdr:col>
                    <xdr:colOff>381000</xdr:colOff>
                    <xdr:row>93</xdr:row>
                    <xdr:rowOff>123825</xdr:rowOff>
                  </from>
                  <to>
                    <xdr:col>5</xdr:col>
                    <xdr:colOff>781050</xdr:colOff>
                    <xdr:row>95</xdr:row>
                    <xdr:rowOff>19050</xdr:rowOff>
                  </to>
                </anchor>
              </controlPr>
            </control>
          </mc:Choice>
        </mc:AlternateContent>
        <mc:AlternateContent xmlns:mc="http://schemas.openxmlformats.org/markup-compatibility/2006">
          <mc:Choice Requires="x14">
            <control shapeId="30897" r:id="rId127" name="Check Box 177">
              <controlPr locked="0" defaultSize="0" autoFill="0" autoLine="0" autoPict="0">
                <anchor moveWithCells="1">
                  <from>
                    <xdr:col>2</xdr:col>
                    <xdr:colOff>28575</xdr:colOff>
                    <xdr:row>95</xdr:row>
                    <xdr:rowOff>123825</xdr:rowOff>
                  </from>
                  <to>
                    <xdr:col>2</xdr:col>
                    <xdr:colOff>428625</xdr:colOff>
                    <xdr:row>97</xdr:row>
                    <xdr:rowOff>19050</xdr:rowOff>
                  </to>
                </anchor>
              </controlPr>
            </control>
          </mc:Choice>
        </mc:AlternateContent>
        <mc:AlternateContent xmlns:mc="http://schemas.openxmlformats.org/markup-compatibility/2006">
          <mc:Choice Requires="x14">
            <control shapeId="30898" r:id="rId128" name="Check Box 178">
              <controlPr locked="0" defaultSize="0" autoFill="0" autoLine="0" autoPict="0">
                <anchor moveWithCells="1">
                  <from>
                    <xdr:col>2</xdr:col>
                    <xdr:colOff>371475</xdr:colOff>
                    <xdr:row>95</xdr:row>
                    <xdr:rowOff>123825</xdr:rowOff>
                  </from>
                  <to>
                    <xdr:col>2</xdr:col>
                    <xdr:colOff>771525</xdr:colOff>
                    <xdr:row>97</xdr:row>
                    <xdr:rowOff>19050</xdr:rowOff>
                  </to>
                </anchor>
              </controlPr>
            </control>
          </mc:Choice>
        </mc:AlternateContent>
        <mc:AlternateContent xmlns:mc="http://schemas.openxmlformats.org/markup-compatibility/2006">
          <mc:Choice Requires="x14">
            <control shapeId="30899" r:id="rId129" name="Check Box 179">
              <controlPr locked="0" defaultSize="0" autoFill="0" autoLine="0" autoPict="0">
                <anchor moveWithCells="1">
                  <from>
                    <xdr:col>2</xdr:col>
                    <xdr:colOff>723900</xdr:colOff>
                    <xdr:row>95</xdr:row>
                    <xdr:rowOff>123825</xdr:rowOff>
                  </from>
                  <to>
                    <xdr:col>3</xdr:col>
                    <xdr:colOff>314325</xdr:colOff>
                    <xdr:row>97</xdr:row>
                    <xdr:rowOff>19050</xdr:rowOff>
                  </to>
                </anchor>
              </controlPr>
            </control>
          </mc:Choice>
        </mc:AlternateContent>
        <mc:AlternateContent xmlns:mc="http://schemas.openxmlformats.org/markup-compatibility/2006">
          <mc:Choice Requires="x14">
            <control shapeId="30900" r:id="rId130" name="Check Box 180">
              <controlPr locked="0" defaultSize="0" autoFill="0" autoLine="0" autoPict="0">
                <anchor moveWithCells="1">
                  <from>
                    <xdr:col>3</xdr:col>
                    <xdr:colOff>257175</xdr:colOff>
                    <xdr:row>95</xdr:row>
                    <xdr:rowOff>123825</xdr:rowOff>
                  </from>
                  <to>
                    <xdr:col>3</xdr:col>
                    <xdr:colOff>657225</xdr:colOff>
                    <xdr:row>97</xdr:row>
                    <xdr:rowOff>19050</xdr:rowOff>
                  </to>
                </anchor>
              </controlPr>
            </control>
          </mc:Choice>
        </mc:AlternateContent>
        <mc:AlternateContent xmlns:mc="http://schemas.openxmlformats.org/markup-compatibility/2006">
          <mc:Choice Requires="x14">
            <control shapeId="30901" r:id="rId131" name="Check Box 181">
              <controlPr locked="0" defaultSize="0" autoFill="0" autoLine="0" autoPict="0">
                <anchor moveWithCells="1">
                  <from>
                    <xdr:col>3</xdr:col>
                    <xdr:colOff>609600</xdr:colOff>
                    <xdr:row>95</xdr:row>
                    <xdr:rowOff>123825</xdr:rowOff>
                  </from>
                  <to>
                    <xdr:col>4</xdr:col>
                    <xdr:colOff>200025</xdr:colOff>
                    <xdr:row>97</xdr:row>
                    <xdr:rowOff>19050</xdr:rowOff>
                  </to>
                </anchor>
              </controlPr>
            </control>
          </mc:Choice>
        </mc:AlternateContent>
        <mc:AlternateContent xmlns:mc="http://schemas.openxmlformats.org/markup-compatibility/2006">
          <mc:Choice Requires="x14">
            <control shapeId="30902" r:id="rId132" name="Check Box 182">
              <controlPr locked="0" defaultSize="0" autoFill="0" autoLine="0" autoPict="0">
                <anchor moveWithCells="1">
                  <from>
                    <xdr:col>4</xdr:col>
                    <xdr:colOff>142875</xdr:colOff>
                    <xdr:row>95</xdr:row>
                    <xdr:rowOff>123825</xdr:rowOff>
                  </from>
                  <to>
                    <xdr:col>4</xdr:col>
                    <xdr:colOff>542925</xdr:colOff>
                    <xdr:row>97</xdr:row>
                    <xdr:rowOff>19050</xdr:rowOff>
                  </to>
                </anchor>
              </controlPr>
            </control>
          </mc:Choice>
        </mc:AlternateContent>
        <mc:AlternateContent xmlns:mc="http://schemas.openxmlformats.org/markup-compatibility/2006">
          <mc:Choice Requires="x14">
            <control shapeId="30903" r:id="rId133" name="Check Box 183">
              <controlPr locked="0" defaultSize="0" autoFill="0" autoLine="0" autoPict="0">
                <anchor moveWithCells="1">
                  <from>
                    <xdr:col>4</xdr:col>
                    <xdr:colOff>495300</xdr:colOff>
                    <xdr:row>95</xdr:row>
                    <xdr:rowOff>123825</xdr:rowOff>
                  </from>
                  <to>
                    <xdr:col>5</xdr:col>
                    <xdr:colOff>85725</xdr:colOff>
                    <xdr:row>97</xdr:row>
                    <xdr:rowOff>19050</xdr:rowOff>
                  </to>
                </anchor>
              </controlPr>
            </control>
          </mc:Choice>
        </mc:AlternateContent>
        <mc:AlternateContent xmlns:mc="http://schemas.openxmlformats.org/markup-compatibility/2006">
          <mc:Choice Requires="x14">
            <control shapeId="30904" r:id="rId134" name="Check Box 184">
              <controlPr locked="0" defaultSize="0" autoFill="0" autoLine="0" autoPict="0">
                <anchor moveWithCells="1">
                  <from>
                    <xdr:col>5</xdr:col>
                    <xdr:colOff>28575</xdr:colOff>
                    <xdr:row>95</xdr:row>
                    <xdr:rowOff>123825</xdr:rowOff>
                  </from>
                  <to>
                    <xdr:col>5</xdr:col>
                    <xdr:colOff>428625</xdr:colOff>
                    <xdr:row>97</xdr:row>
                    <xdr:rowOff>19050</xdr:rowOff>
                  </to>
                </anchor>
              </controlPr>
            </control>
          </mc:Choice>
        </mc:AlternateContent>
        <mc:AlternateContent xmlns:mc="http://schemas.openxmlformats.org/markup-compatibility/2006">
          <mc:Choice Requires="x14">
            <control shapeId="30905" r:id="rId135" name="Check Box 185">
              <controlPr locked="0" defaultSize="0" autoFill="0" autoLine="0" autoPict="0">
                <anchor moveWithCells="1">
                  <from>
                    <xdr:col>5</xdr:col>
                    <xdr:colOff>381000</xdr:colOff>
                    <xdr:row>95</xdr:row>
                    <xdr:rowOff>123825</xdr:rowOff>
                  </from>
                  <to>
                    <xdr:col>5</xdr:col>
                    <xdr:colOff>781050</xdr:colOff>
                    <xdr:row>97</xdr:row>
                    <xdr:rowOff>19050</xdr:rowOff>
                  </to>
                </anchor>
              </controlPr>
            </control>
          </mc:Choice>
        </mc:AlternateContent>
        <mc:AlternateContent xmlns:mc="http://schemas.openxmlformats.org/markup-compatibility/2006">
          <mc:Choice Requires="x14">
            <control shapeId="30906" r:id="rId136" name="Check Box 186">
              <controlPr locked="0" defaultSize="0" autoFill="0" autoLine="0" autoPict="0">
                <anchor moveWithCells="1">
                  <from>
                    <xdr:col>2</xdr:col>
                    <xdr:colOff>28575</xdr:colOff>
                    <xdr:row>97</xdr:row>
                    <xdr:rowOff>123825</xdr:rowOff>
                  </from>
                  <to>
                    <xdr:col>2</xdr:col>
                    <xdr:colOff>428625</xdr:colOff>
                    <xdr:row>99</xdr:row>
                    <xdr:rowOff>19050</xdr:rowOff>
                  </to>
                </anchor>
              </controlPr>
            </control>
          </mc:Choice>
        </mc:AlternateContent>
        <mc:AlternateContent xmlns:mc="http://schemas.openxmlformats.org/markup-compatibility/2006">
          <mc:Choice Requires="x14">
            <control shapeId="30907" r:id="rId137" name="Check Box 187">
              <controlPr locked="0" defaultSize="0" autoFill="0" autoLine="0" autoPict="0">
                <anchor moveWithCells="1">
                  <from>
                    <xdr:col>2</xdr:col>
                    <xdr:colOff>371475</xdr:colOff>
                    <xdr:row>97</xdr:row>
                    <xdr:rowOff>123825</xdr:rowOff>
                  </from>
                  <to>
                    <xdr:col>2</xdr:col>
                    <xdr:colOff>771525</xdr:colOff>
                    <xdr:row>99</xdr:row>
                    <xdr:rowOff>19050</xdr:rowOff>
                  </to>
                </anchor>
              </controlPr>
            </control>
          </mc:Choice>
        </mc:AlternateContent>
        <mc:AlternateContent xmlns:mc="http://schemas.openxmlformats.org/markup-compatibility/2006">
          <mc:Choice Requires="x14">
            <control shapeId="30908" r:id="rId138" name="Check Box 188">
              <controlPr locked="0" defaultSize="0" autoFill="0" autoLine="0" autoPict="0">
                <anchor moveWithCells="1">
                  <from>
                    <xdr:col>2</xdr:col>
                    <xdr:colOff>723900</xdr:colOff>
                    <xdr:row>97</xdr:row>
                    <xdr:rowOff>123825</xdr:rowOff>
                  </from>
                  <to>
                    <xdr:col>3</xdr:col>
                    <xdr:colOff>314325</xdr:colOff>
                    <xdr:row>99</xdr:row>
                    <xdr:rowOff>19050</xdr:rowOff>
                  </to>
                </anchor>
              </controlPr>
            </control>
          </mc:Choice>
        </mc:AlternateContent>
        <mc:AlternateContent xmlns:mc="http://schemas.openxmlformats.org/markup-compatibility/2006">
          <mc:Choice Requires="x14">
            <control shapeId="30909" r:id="rId139" name="Check Box 189">
              <controlPr locked="0" defaultSize="0" autoFill="0" autoLine="0" autoPict="0">
                <anchor moveWithCells="1">
                  <from>
                    <xdr:col>3</xdr:col>
                    <xdr:colOff>257175</xdr:colOff>
                    <xdr:row>97</xdr:row>
                    <xdr:rowOff>123825</xdr:rowOff>
                  </from>
                  <to>
                    <xdr:col>3</xdr:col>
                    <xdr:colOff>657225</xdr:colOff>
                    <xdr:row>99</xdr:row>
                    <xdr:rowOff>19050</xdr:rowOff>
                  </to>
                </anchor>
              </controlPr>
            </control>
          </mc:Choice>
        </mc:AlternateContent>
        <mc:AlternateContent xmlns:mc="http://schemas.openxmlformats.org/markup-compatibility/2006">
          <mc:Choice Requires="x14">
            <control shapeId="30910" r:id="rId140" name="Check Box 190">
              <controlPr locked="0" defaultSize="0" autoFill="0" autoLine="0" autoPict="0">
                <anchor moveWithCells="1">
                  <from>
                    <xdr:col>3</xdr:col>
                    <xdr:colOff>609600</xdr:colOff>
                    <xdr:row>97</xdr:row>
                    <xdr:rowOff>123825</xdr:rowOff>
                  </from>
                  <to>
                    <xdr:col>4</xdr:col>
                    <xdr:colOff>200025</xdr:colOff>
                    <xdr:row>99</xdr:row>
                    <xdr:rowOff>19050</xdr:rowOff>
                  </to>
                </anchor>
              </controlPr>
            </control>
          </mc:Choice>
        </mc:AlternateContent>
        <mc:AlternateContent xmlns:mc="http://schemas.openxmlformats.org/markup-compatibility/2006">
          <mc:Choice Requires="x14">
            <control shapeId="30911" r:id="rId141" name="Check Box 191">
              <controlPr locked="0" defaultSize="0" autoFill="0" autoLine="0" autoPict="0">
                <anchor moveWithCells="1">
                  <from>
                    <xdr:col>4</xdr:col>
                    <xdr:colOff>142875</xdr:colOff>
                    <xdr:row>97</xdr:row>
                    <xdr:rowOff>123825</xdr:rowOff>
                  </from>
                  <to>
                    <xdr:col>4</xdr:col>
                    <xdr:colOff>542925</xdr:colOff>
                    <xdr:row>99</xdr:row>
                    <xdr:rowOff>19050</xdr:rowOff>
                  </to>
                </anchor>
              </controlPr>
            </control>
          </mc:Choice>
        </mc:AlternateContent>
        <mc:AlternateContent xmlns:mc="http://schemas.openxmlformats.org/markup-compatibility/2006">
          <mc:Choice Requires="x14">
            <control shapeId="30912" r:id="rId142" name="Check Box 192">
              <controlPr locked="0" defaultSize="0" autoFill="0" autoLine="0" autoPict="0">
                <anchor moveWithCells="1">
                  <from>
                    <xdr:col>4</xdr:col>
                    <xdr:colOff>495300</xdr:colOff>
                    <xdr:row>97</xdr:row>
                    <xdr:rowOff>123825</xdr:rowOff>
                  </from>
                  <to>
                    <xdr:col>5</xdr:col>
                    <xdr:colOff>85725</xdr:colOff>
                    <xdr:row>99</xdr:row>
                    <xdr:rowOff>19050</xdr:rowOff>
                  </to>
                </anchor>
              </controlPr>
            </control>
          </mc:Choice>
        </mc:AlternateContent>
        <mc:AlternateContent xmlns:mc="http://schemas.openxmlformats.org/markup-compatibility/2006">
          <mc:Choice Requires="x14">
            <control shapeId="30913" r:id="rId143" name="Check Box 193">
              <controlPr locked="0" defaultSize="0" autoFill="0" autoLine="0" autoPict="0">
                <anchor moveWithCells="1">
                  <from>
                    <xdr:col>5</xdr:col>
                    <xdr:colOff>28575</xdr:colOff>
                    <xdr:row>97</xdr:row>
                    <xdr:rowOff>123825</xdr:rowOff>
                  </from>
                  <to>
                    <xdr:col>5</xdr:col>
                    <xdr:colOff>428625</xdr:colOff>
                    <xdr:row>99</xdr:row>
                    <xdr:rowOff>19050</xdr:rowOff>
                  </to>
                </anchor>
              </controlPr>
            </control>
          </mc:Choice>
        </mc:AlternateContent>
        <mc:AlternateContent xmlns:mc="http://schemas.openxmlformats.org/markup-compatibility/2006">
          <mc:Choice Requires="x14">
            <control shapeId="30914" r:id="rId144" name="Check Box 194">
              <controlPr locked="0" defaultSize="0" autoFill="0" autoLine="0" autoPict="0">
                <anchor moveWithCells="1">
                  <from>
                    <xdr:col>5</xdr:col>
                    <xdr:colOff>381000</xdr:colOff>
                    <xdr:row>97</xdr:row>
                    <xdr:rowOff>123825</xdr:rowOff>
                  </from>
                  <to>
                    <xdr:col>5</xdr:col>
                    <xdr:colOff>781050</xdr:colOff>
                    <xdr:row>99</xdr:row>
                    <xdr:rowOff>19050</xdr:rowOff>
                  </to>
                </anchor>
              </controlPr>
            </control>
          </mc:Choice>
        </mc:AlternateContent>
        <mc:AlternateContent xmlns:mc="http://schemas.openxmlformats.org/markup-compatibility/2006">
          <mc:Choice Requires="x14">
            <control shapeId="30915" r:id="rId145" name="Check Box 195">
              <controlPr locked="0" defaultSize="0" autoFill="0" autoLine="0" autoPict="0">
                <anchor moveWithCells="1">
                  <from>
                    <xdr:col>2</xdr:col>
                    <xdr:colOff>28575</xdr:colOff>
                    <xdr:row>99</xdr:row>
                    <xdr:rowOff>123825</xdr:rowOff>
                  </from>
                  <to>
                    <xdr:col>2</xdr:col>
                    <xdr:colOff>428625</xdr:colOff>
                    <xdr:row>101</xdr:row>
                    <xdr:rowOff>19050</xdr:rowOff>
                  </to>
                </anchor>
              </controlPr>
            </control>
          </mc:Choice>
        </mc:AlternateContent>
        <mc:AlternateContent xmlns:mc="http://schemas.openxmlformats.org/markup-compatibility/2006">
          <mc:Choice Requires="x14">
            <control shapeId="30916" r:id="rId146" name="Check Box 196">
              <controlPr locked="0" defaultSize="0" autoFill="0" autoLine="0" autoPict="0">
                <anchor moveWithCells="1">
                  <from>
                    <xdr:col>2</xdr:col>
                    <xdr:colOff>371475</xdr:colOff>
                    <xdr:row>99</xdr:row>
                    <xdr:rowOff>123825</xdr:rowOff>
                  </from>
                  <to>
                    <xdr:col>2</xdr:col>
                    <xdr:colOff>771525</xdr:colOff>
                    <xdr:row>101</xdr:row>
                    <xdr:rowOff>19050</xdr:rowOff>
                  </to>
                </anchor>
              </controlPr>
            </control>
          </mc:Choice>
        </mc:AlternateContent>
        <mc:AlternateContent xmlns:mc="http://schemas.openxmlformats.org/markup-compatibility/2006">
          <mc:Choice Requires="x14">
            <control shapeId="30917" r:id="rId147" name="Check Box 197">
              <controlPr locked="0" defaultSize="0" autoFill="0" autoLine="0" autoPict="0">
                <anchor moveWithCells="1">
                  <from>
                    <xdr:col>2</xdr:col>
                    <xdr:colOff>723900</xdr:colOff>
                    <xdr:row>99</xdr:row>
                    <xdr:rowOff>123825</xdr:rowOff>
                  </from>
                  <to>
                    <xdr:col>3</xdr:col>
                    <xdr:colOff>314325</xdr:colOff>
                    <xdr:row>101</xdr:row>
                    <xdr:rowOff>19050</xdr:rowOff>
                  </to>
                </anchor>
              </controlPr>
            </control>
          </mc:Choice>
        </mc:AlternateContent>
        <mc:AlternateContent xmlns:mc="http://schemas.openxmlformats.org/markup-compatibility/2006">
          <mc:Choice Requires="x14">
            <control shapeId="30918" r:id="rId148" name="Check Box 198">
              <controlPr locked="0" defaultSize="0" autoFill="0" autoLine="0" autoPict="0">
                <anchor moveWithCells="1">
                  <from>
                    <xdr:col>3</xdr:col>
                    <xdr:colOff>257175</xdr:colOff>
                    <xdr:row>99</xdr:row>
                    <xdr:rowOff>123825</xdr:rowOff>
                  </from>
                  <to>
                    <xdr:col>3</xdr:col>
                    <xdr:colOff>657225</xdr:colOff>
                    <xdr:row>101</xdr:row>
                    <xdr:rowOff>19050</xdr:rowOff>
                  </to>
                </anchor>
              </controlPr>
            </control>
          </mc:Choice>
        </mc:AlternateContent>
        <mc:AlternateContent xmlns:mc="http://schemas.openxmlformats.org/markup-compatibility/2006">
          <mc:Choice Requires="x14">
            <control shapeId="30919" r:id="rId149" name="Check Box 199">
              <controlPr locked="0" defaultSize="0" autoFill="0" autoLine="0" autoPict="0">
                <anchor moveWithCells="1">
                  <from>
                    <xdr:col>3</xdr:col>
                    <xdr:colOff>609600</xdr:colOff>
                    <xdr:row>99</xdr:row>
                    <xdr:rowOff>123825</xdr:rowOff>
                  </from>
                  <to>
                    <xdr:col>4</xdr:col>
                    <xdr:colOff>200025</xdr:colOff>
                    <xdr:row>101</xdr:row>
                    <xdr:rowOff>19050</xdr:rowOff>
                  </to>
                </anchor>
              </controlPr>
            </control>
          </mc:Choice>
        </mc:AlternateContent>
        <mc:AlternateContent xmlns:mc="http://schemas.openxmlformats.org/markup-compatibility/2006">
          <mc:Choice Requires="x14">
            <control shapeId="30920" r:id="rId150" name="Check Box 200">
              <controlPr locked="0" defaultSize="0" autoFill="0" autoLine="0" autoPict="0">
                <anchor moveWithCells="1">
                  <from>
                    <xdr:col>4</xdr:col>
                    <xdr:colOff>142875</xdr:colOff>
                    <xdr:row>99</xdr:row>
                    <xdr:rowOff>123825</xdr:rowOff>
                  </from>
                  <to>
                    <xdr:col>4</xdr:col>
                    <xdr:colOff>542925</xdr:colOff>
                    <xdr:row>101</xdr:row>
                    <xdr:rowOff>19050</xdr:rowOff>
                  </to>
                </anchor>
              </controlPr>
            </control>
          </mc:Choice>
        </mc:AlternateContent>
        <mc:AlternateContent xmlns:mc="http://schemas.openxmlformats.org/markup-compatibility/2006">
          <mc:Choice Requires="x14">
            <control shapeId="30921" r:id="rId151" name="Check Box 201">
              <controlPr locked="0" defaultSize="0" autoFill="0" autoLine="0" autoPict="0">
                <anchor moveWithCells="1">
                  <from>
                    <xdr:col>4</xdr:col>
                    <xdr:colOff>495300</xdr:colOff>
                    <xdr:row>99</xdr:row>
                    <xdr:rowOff>123825</xdr:rowOff>
                  </from>
                  <to>
                    <xdr:col>5</xdr:col>
                    <xdr:colOff>85725</xdr:colOff>
                    <xdr:row>101</xdr:row>
                    <xdr:rowOff>19050</xdr:rowOff>
                  </to>
                </anchor>
              </controlPr>
            </control>
          </mc:Choice>
        </mc:AlternateContent>
        <mc:AlternateContent xmlns:mc="http://schemas.openxmlformats.org/markup-compatibility/2006">
          <mc:Choice Requires="x14">
            <control shapeId="30922" r:id="rId152" name="Check Box 202">
              <controlPr locked="0" defaultSize="0" autoFill="0" autoLine="0" autoPict="0">
                <anchor moveWithCells="1">
                  <from>
                    <xdr:col>5</xdr:col>
                    <xdr:colOff>28575</xdr:colOff>
                    <xdr:row>99</xdr:row>
                    <xdr:rowOff>123825</xdr:rowOff>
                  </from>
                  <to>
                    <xdr:col>5</xdr:col>
                    <xdr:colOff>428625</xdr:colOff>
                    <xdr:row>101</xdr:row>
                    <xdr:rowOff>19050</xdr:rowOff>
                  </to>
                </anchor>
              </controlPr>
            </control>
          </mc:Choice>
        </mc:AlternateContent>
        <mc:AlternateContent xmlns:mc="http://schemas.openxmlformats.org/markup-compatibility/2006">
          <mc:Choice Requires="x14">
            <control shapeId="30923" r:id="rId153" name="Check Box 203">
              <controlPr locked="0" defaultSize="0" autoFill="0" autoLine="0" autoPict="0">
                <anchor moveWithCells="1">
                  <from>
                    <xdr:col>5</xdr:col>
                    <xdr:colOff>381000</xdr:colOff>
                    <xdr:row>99</xdr:row>
                    <xdr:rowOff>123825</xdr:rowOff>
                  </from>
                  <to>
                    <xdr:col>5</xdr:col>
                    <xdr:colOff>781050</xdr:colOff>
                    <xdr:row>101</xdr:row>
                    <xdr:rowOff>19050</xdr:rowOff>
                  </to>
                </anchor>
              </controlPr>
            </control>
          </mc:Choice>
        </mc:AlternateContent>
        <mc:AlternateContent xmlns:mc="http://schemas.openxmlformats.org/markup-compatibility/2006">
          <mc:Choice Requires="x14">
            <control shapeId="30924" r:id="rId154" name="Check Box 204">
              <controlPr locked="0" defaultSize="0" autoFill="0" autoLine="0" autoPict="0">
                <anchor moveWithCells="1">
                  <from>
                    <xdr:col>2</xdr:col>
                    <xdr:colOff>28575</xdr:colOff>
                    <xdr:row>101</xdr:row>
                    <xdr:rowOff>123825</xdr:rowOff>
                  </from>
                  <to>
                    <xdr:col>2</xdr:col>
                    <xdr:colOff>428625</xdr:colOff>
                    <xdr:row>103</xdr:row>
                    <xdr:rowOff>19050</xdr:rowOff>
                  </to>
                </anchor>
              </controlPr>
            </control>
          </mc:Choice>
        </mc:AlternateContent>
        <mc:AlternateContent xmlns:mc="http://schemas.openxmlformats.org/markup-compatibility/2006">
          <mc:Choice Requires="x14">
            <control shapeId="30925" r:id="rId155" name="Check Box 205">
              <controlPr locked="0" defaultSize="0" autoFill="0" autoLine="0" autoPict="0">
                <anchor moveWithCells="1">
                  <from>
                    <xdr:col>2</xdr:col>
                    <xdr:colOff>371475</xdr:colOff>
                    <xdr:row>101</xdr:row>
                    <xdr:rowOff>123825</xdr:rowOff>
                  </from>
                  <to>
                    <xdr:col>2</xdr:col>
                    <xdr:colOff>771525</xdr:colOff>
                    <xdr:row>103</xdr:row>
                    <xdr:rowOff>19050</xdr:rowOff>
                  </to>
                </anchor>
              </controlPr>
            </control>
          </mc:Choice>
        </mc:AlternateContent>
        <mc:AlternateContent xmlns:mc="http://schemas.openxmlformats.org/markup-compatibility/2006">
          <mc:Choice Requires="x14">
            <control shapeId="30926" r:id="rId156" name="Check Box 206">
              <controlPr locked="0" defaultSize="0" autoFill="0" autoLine="0" autoPict="0">
                <anchor moveWithCells="1">
                  <from>
                    <xdr:col>2</xdr:col>
                    <xdr:colOff>723900</xdr:colOff>
                    <xdr:row>101</xdr:row>
                    <xdr:rowOff>123825</xdr:rowOff>
                  </from>
                  <to>
                    <xdr:col>3</xdr:col>
                    <xdr:colOff>314325</xdr:colOff>
                    <xdr:row>103</xdr:row>
                    <xdr:rowOff>19050</xdr:rowOff>
                  </to>
                </anchor>
              </controlPr>
            </control>
          </mc:Choice>
        </mc:AlternateContent>
        <mc:AlternateContent xmlns:mc="http://schemas.openxmlformats.org/markup-compatibility/2006">
          <mc:Choice Requires="x14">
            <control shapeId="30927" r:id="rId157" name="Check Box 207">
              <controlPr locked="0" defaultSize="0" autoFill="0" autoLine="0" autoPict="0">
                <anchor moveWithCells="1">
                  <from>
                    <xdr:col>3</xdr:col>
                    <xdr:colOff>257175</xdr:colOff>
                    <xdr:row>101</xdr:row>
                    <xdr:rowOff>123825</xdr:rowOff>
                  </from>
                  <to>
                    <xdr:col>3</xdr:col>
                    <xdr:colOff>657225</xdr:colOff>
                    <xdr:row>103</xdr:row>
                    <xdr:rowOff>19050</xdr:rowOff>
                  </to>
                </anchor>
              </controlPr>
            </control>
          </mc:Choice>
        </mc:AlternateContent>
        <mc:AlternateContent xmlns:mc="http://schemas.openxmlformats.org/markup-compatibility/2006">
          <mc:Choice Requires="x14">
            <control shapeId="30928" r:id="rId158" name="Check Box 208">
              <controlPr locked="0" defaultSize="0" autoFill="0" autoLine="0" autoPict="0">
                <anchor moveWithCells="1">
                  <from>
                    <xdr:col>3</xdr:col>
                    <xdr:colOff>609600</xdr:colOff>
                    <xdr:row>101</xdr:row>
                    <xdr:rowOff>123825</xdr:rowOff>
                  </from>
                  <to>
                    <xdr:col>4</xdr:col>
                    <xdr:colOff>200025</xdr:colOff>
                    <xdr:row>103</xdr:row>
                    <xdr:rowOff>19050</xdr:rowOff>
                  </to>
                </anchor>
              </controlPr>
            </control>
          </mc:Choice>
        </mc:AlternateContent>
        <mc:AlternateContent xmlns:mc="http://schemas.openxmlformats.org/markup-compatibility/2006">
          <mc:Choice Requires="x14">
            <control shapeId="30929" r:id="rId159" name="Check Box 209">
              <controlPr locked="0" defaultSize="0" autoFill="0" autoLine="0" autoPict="0">
                <anchor moveWithCells="1">
                  <from>
                    <xdr:col>4</xdr:col>
                    <xdr:colOff>142875</xdr:colOff>
                    <xdr:row>101</xdr:row>
                    <xdr:rowOff>123825</xdr:rowOff>
                  </from>
                  <to>
                    <xdr:col>4</xdr:col>
                    <xdr:colOff>542925</xdr:colOff>
                    <xdr:row>103</xdr:row>
                    <xdr:rowOff>19050</xdr:rowOff>
                  </to>
                </anchor>
              </controlPr>
            </control>
          </mc:Choice>
        </mc:AlternateContent>
        <mc:AlternateContent xmlns:mc="http://schemas.openxmlformats.org/markup-compatibility/2006">
          <mc:Choice Requires="x14">
            <control shapeId="30930" r:id="rId160" name="Check Box 210">
              <controlPr locked="0" defaultSize="0" autoFill="0" autoLine="0" autoPict="0">
                <anchor moveWithCells="1">
                  <from>
                    <xdr:col>4</xdr:col>
                    <xdr:colOff>495300</xdr:colOff>
                    <xdr:row>101</xdr:row>
                    <xdr:rowOff>123825</xdr:rowOff>
                  </from>
                  <to>
                    <xdr:col>5</xdr:col>
                    <xdr:colOff>85725</xdr:colOff>
                    <xdr:row>103</xdr:row>
                    <xdr:rowOff>19050</xdr:rowOff>
                  </to>
                </anchor>
              </controlPr>
            </control>
          </mc:Choice>
        </mc:AlternateContent>
        <mc:AlternateContent xmlns:mc="http://schemas.openxmlformats.org/markup-compatibility/2006">
          <mc:Choice Requires="x14">
            <control shapeId="30931" r:id="rId161" name="Check Box 211">
              <controlPr locked="0" defaultSize="0" autoFill="0" autoLine="0" autoPict="0">
                <anchor moveWithCells="1">
                  <from>
                    <xdr:col>5</xdr:col>
                    <xdr:colOff>28575</xdr:colOff>
                    <xdr:row>101</xdr:row>
                    <xdr:rowOff>123825</xdr:rowOff>
                  </from>
                  <to>
                    <xdr:col>5</xdr:col>
                    <xdr:colOff>428625</xdr:colOff>
                    <xdr:row>103</xdr:row>
                    <xdr:rowOff>19050</xdr:rowOff>
                  </to>
                </anchor>
              </controlPr>
            </control>
          </mc:Choice>
        </mc:AlternateContent>
        <mc:AlternateContent xmlns:mc="http://schemas.openxmlformats.org/markup-compatibility/2006">
          <mc:Choice Requires="x14">
            <control shapeId="30932" r:id="rId162" name="Check Box 212">
              <controlPr locked="0" defaultSize="0" autoFill="0" autoLine="0" autoPict="0">
                <anchor moveWithCells="1">
                  <from>
                    <xdr:col>5</xdr:col>
                    <xdr:colOff>381000</xdr:colOff>
                    <xdr:row>101</xdr:row>
                    <xdr:rowOff>123825</xdr:rowOff>
                  </from>
                  <to>
                    <xdr:col>5</xdr:col>
                    <xdr:colOff>781050</xdr:colOff>
                    <xdr:row>103</xdr:row>
                    <xdr:rowOff>19050</xdr:rowOff>
                  </to>
                </anchor>
              </controlPr>
            </control>
          </mc:Choice>
        </mc:AlternateContent>
        <mc:AlternateContent xmlns:mc="http://schemas.openxmlformats.org/markup-compatibility/2006">
          <mc:Choice Requires="x14">
            <control shapeId="30933" r:id="rId163" name="Check Box 213">
              <controlPr locked="0" defaultSize="0" autoFill="0" autoLine="0" autoPict="0">
                <anchor moveWithCells="1">
                  <from>
                    <xdr:col>2</xdr:col>
                    <xdr:colOff>28575</xdr:colOff>
                    <xdr:row>103</xdr:row>
                    <xdr:rowOff>123825</xdr:rowOff>
                  </from>
                  <to>
                    <xdr:col>2</xdr:col>
                    <xdr:colOff>428625</xdr:colOff>
                    <xdr:row>105</xdr:row>
                    <xdr:rowOff>9525</xdr:rowOff>
                  </to>
                </anchor>
              </controlPr>
            </control>
          </mc:Choice>
        </mc:AlternateContent>
        <mc:AlternateContent xmlns:mc="http://schemas.openxmlformats.org/markup-compatibility/2006">
          <mc:Choice Requires="x14">
            <control shapeId="30934" r:id="rId164" name="Check Box 214">
              <controlPr locked="0" defaultSize="0" autoFill="0" autoLine="0" autoPict="0">
                <anchor moveWithCells="1">
                  <from>
                    <xdr:col>2</xdr:col>
                    <xdr:colOff>371475</xdr:colOff>
                    <xdr:row>103</xdr:row>
                    <xdr:rowOff>123825</xdr:rowOff>
                  </from>
                  <to>
                    <xdr:col>2</xdr:col>
                    <xdr:colOff>771525</xdr:colOff>
                    <xdr:row>105</xdr:row>
                    <xdr:rowOff>9525</xdr:rowOff>
                  </to>
                </anchor>
              </controlPr>
            </control>
          </mc:Choice>
        </mc:AlternateContent>
        <mc:AlternateContent xmlns:mc="http://schemas.openxmlformats.org/markup-compatibility/2006">
          <mc:Choice Requires="x14">
            <control shapeId="30935" r:id="rId165" name="Check Box 215">
              <controlPr locked="0" defaultSize="0" autoFill="0" autoLine="0" autoPict="0">
                <anchor moveWithCells="1">
                  <from>
                    <xdr:col>2</xdr:col>
                    <xdr:colOff>723900</xdr:colOff>
                    <xdr:row>103</xdr:row>
                    <xdr:rowOff>123825</xdr:rowOff>
                  </from>
                  <to>
                    <xdr:col>3</xdr:col>
                    <xdr:colOff>314325</xdr:colOff>
                    <xdr:row>105</xdr:row>
                    <xdr:rowOff>9525</xdr:rowOff>
                  </to>
                </anchor>
              </controlPr>
            </control>
          </mc:Choice>
        </mc:AlternateContent>
        <mc:AlternateContent xmlns:mc="http://schemas.openxmlformats.org/markup-compatibility/2006">
          <mc:Choice Requires="x14">
            <control shapeId="30936" r:id="rId166" name="Check Box 216">
              <controlPr locked="0" defaultSize="0" autoFill="0" autoLine="0" autoPict="0">
                <anchor moveWithCells="1">
                  <from>
                    <xdr:col>3</xdr:col>
                    <xdr:colOff>257175</xdr:colOff>
                    <xdr:row>103</xdr:row>
                    <xdr:rowOff>123825</xdr:rowOff>
                  </from>
                  <to>
                    <xdr:col>3</xdr:col>
                    <xdr:colOff>657225</xdr:colOff>
                    <xdr:row>105</xdr:row>
                    <xdr:rowOff>9525</xdr:rowOff>
                  </to>
                </anchor>
              </controlPr>
            </control>
          </mc:Choice>
        </mc:AlternateContent>
        <mc:AlternateContent xmlns:mc="http://schemas.openxmlformats.org/markup-compatibility/2006">
          <mc:Choice Requires="x14">
            <control shapeId="30937" r:id="rId167" name="Check Box 217">
              <controlPr locked="0" defaultSize="0" autoFill="0" autoLine="0" autoPict="0">
                <anchor moveWithCells="1">
                  <from>
                    <xdr:col>3</xdr:col>
                    <xdr:colOff>609600</xdr:colOff>
                    <xdr:row>103</xdr:row>
                    <xdr:rowOff>123825</xdr:rowOff>
                  </from>
                  <to>
                    <xdr:col>4</xdr:col>
                    <xdr:colOff>200025</xdr:colOff>
                    <xdr:row>105</xdr:row>
                    <xdr:rowOff>9525</xdr:rowOff>
                  </to>
                </anchor>
              </controlPr>
            </control>
          </mc:Choice>
        </mc:AlternateContent>
        <mc:AlternateContent xmlns:mc="http://schemas.openxmlformats.org/markup-compatibility/2006">
          <mc:Choice Requires="x14">
            <control shapeId="30938" r:id="rId168" name="Check Box 218">
              <controlPr locked="0" defaultSize="0" autoFill="0" autoLine="0" autoPict="0">
                <anchor moveWithCells="1">
                  <from>
                    <xdr:col>4</xdr:col>
                    <xdr:colOff>142875</xdr:colOff>
                    <xdr:row>103</xdr:row>
                    <xdr:rowOff>123825</xdr:rowOff>
                  </from>
                  <to>
                    <xdr:col>4</xdr:col>
                    <xdr:colOff>542925</xdr:colOff>
                    <xdr:row>105</xdr:row>
                    <xdr:rowOff>9525</xdr:rowOff>
                  </to>
                </anchor>
              </controlPr>
            </control>
          </mc:Choice>
        </mc:AlternateContent>
        <mc:AlternateContent xmlns:mc="http://schemas.openxmlformats.org/markup-compatibility/2006">
          <mc:Choice Requires="x14">
            <control shapeId="30939" r:id="rId169" name="Check Box 219">
              <controlPr locked="0" defaultSize="0" autoFill="0" autoLine="0" autoPict="0">
                <anchor moveWithCells="1">
                  <from>
                    <xdr:col>4</xdr:col>
                    <xdr:colOff>495300</xdr:colOff>
                    <xdr:row>103</xdr:row>
                    <xdr:rowOff>123825</xdr:rowOff>
                  </from>
                  <to>
                    <xdr:col>5</xdr:col>
                    <xdr:colOff>85725</xdr:colOff>
                    <xdr:row>105</xdr:row>
                    <xdr:rowOff>9525</xdr:rowOff>
                  </to>
                </anchor>
              </controlPr>
            </control>
          </mc:Choice>
        </mc:AlternateContent>
        <mc:AlternateContent xmlns:mc="http://schemas.openxmlformats.org/markup-compatibility/2006">
          <mc:Choice Requires="x14">
            <control shapeId="30940" r:id="rId170" name="Check Box 220">
              <controlPr locked="0" defaultSize="0" autoFill="0" autoLine="0" autoPict="0">
                <anchor moveWithCells="1">
                  <from>
                    <xdr:col>5</xdr:col>
                    <xdr:colOff>28575</xdr:colOff>
                    <xdr:row>103</xdr:row>
                    <xdr:rowOff>123825</xdr:rowOff>
                  </from>
                  <to>
                    <xdr:col>5</xdr:col>
                    <xdr:colOff>428625</xdr:colOff>
                    <xdr:row>105</xdr:row>
                    <xdr:rowOff>9525</xdr:rowOff>
                  </to>
                </anchor>
              </controlPr>
            </control>
          </mc:Choice>
        </mc:AlternateContent>
        <mc:AlternateContent xmlns:mc="http://schemas.openxmlformats.org/markup-compatibility/2006">
          <mc:Choice Requires="x14">
            <control shapeId="30941" r:id="rId171" name="Check Box 221">
              <controlPr locked="0" defaultSize="0" autoFill="0" autoLine="0" autoPict="0">
                <anchor moveWithCells="1">
                  <from>
                    <xdr:col>5</xdr:col>
                    <xdr:colOff>381000</xdr:colOff>
                    <xdr:row>103</xdr:row>
                    <xdr:rowOff>123825</xdr:rowOff>
                  </from>
                  <to>
                    <xdr:col>5</xdr:col>
                    <xdr:colOff>781050</xdr:colOff>
                    <xdr:row>105</xdr:row>
                    <xdr:rowOff>9525</xdr:rowOff>
                  </to>
                </anchor>
              </controlPr>
            </control>
          </mc:Choice>
        </mc:AlternateContent>
        <mc:AlternateContent xmlns:mc="http://schemas.openxmlformats.org/markup-compatibility/2006">
          <mc:Choice Requires="x14">
            <control shapeId="30942" r:id="rId172" name="Check Box 222">
              <controlPr locked="0" defaultSize="0" autoFill="0" autoLine="0" autoPict="0">
                <anchor moveWithCells="1">
                  <from>
                    <xdr:col>2</xdr:col>
                    <xdr:colOff>28575</xdr:colOff>
                    <xdr:row>79</xdr:row>
                    <xdr:rowOff>123825</xdr:rowOff>
                  </from>
                  <to>
                    <xdr:col>2</xdr:col>
                    <xdr:colOff>428625</xdr:colOff>
                    <xdr:row>81</xdr:row>
                    <xdr:rowOff>19050</xdr:rowOff>
                  </to>
                </anchor>
              </controlPr>
            </control>
          </mc:Choice>
        </mc:AlternateContent>
        <mc:AlternateContent xmlns:mc="http://schemas.openxmlformats.org/markup-compatibility/2006">
          <mc:Choice Requires="x14">
            <control shapeId="30943" r:id="rId173" name="Check Box 223">
              <controlPr locked="0" defaultSize="0" autoFill="0" autoLine="0" autoPict="0">
                <anchor moveWithCells="1">
                  <from>
                    <xdr:col>2</xdr:col>
                    <xdr:colOff>371475</xdr:colOff>
                    <xdr:row>79</xdr:row>
                    <xdr:rowOff>123825</xdr:rowOff>
                  </from>
                  <to>
                    <xdr:col>2</xdr:col>
                    <xdr:colOff>771525</xdr:colOff>
                    <xdr:row>81</xdr:row>
                    <xdr:rowOff>19050</xdr:rowOff>
                  </to>
                </anchor>
              </controlPr>
            </control>
          </mc:Choice>
        </mc:AlternateContent>
        <mc:AlternateContent xmlns:mc="http://schemas.openxmlformats.org/markup-compatibility/2006">
          <mc:Choice Requires="x14">
            <control shapeId="30944" r:id="rId174" name="Check Box 224">
              <controlPr locked="0" defaultSize="0" autoFill="0" autoLine="0" autoPict="0">
                <anchor moveWithCells="1">
                  <from>
                    <xdr:col>2</xdr:col>
                    <xdr:colOff>723900</xdr:colOff>
                    <xdr:row>79</xdr:row>
                    <xdr:rowOff>123825</xdr:rowOff>
                  </from>
                  <to>
                    <xdr:col>3</xdr:col>
                    <xdr:colOff>314325</xdr:colOff>
                    <xdr:row>81</xdr:row>
                    <xdr:rowOff>19050</xdr:rowOff>
                  </to>
                </anchor>
              </controlPr>
            </control>
          </mc:Choice>
        </mc:AlternateContent>
        <mc:AlternateContent xmlns:mc="http://schemas.openxmlformats.org/markup-compatibility/2006">
          <mc:Choice Requires="x14">
            <control shapeId="30945" r:id="rId175" name="Check Box 225">
              <controlPr locked="0" defaultSize="0" autoFill="0" autoLine="0" autoPict="0">
                <anchor moveWithCells="1">
                  <from>
                    <xdr:col>2</xdr:col>
                    <xdr:colOff>28575</xdr:colOff>
                    <xdr:row>81</xdr:row>
                    <xdr:rowOff>123825</xdr:rowOff>
                  </from>
                  <to>
                    <xdr:col>2</xdr:col>
                    <xdr:colOff>428625</xdr:colOff>
                    <xdr:row>83</xdr:row>
                    <xdr:rowOff>19050</xdr:rowOff>
                  </to>
                </anchor>
              </controlPr>
            </control>
          </mc:Choice>
        </mc:AlternateContent>
        <mc:AlternateContent xmlns:mc="http://schemas.openxmlformats.org/markup-compatibility/2006">
          <mc:Choice Requires="x14">
            <control shapeId="30946" r:id="rId176" name="Check Box 226">
              <controlPr locked="0" defaultSize="0" autoFill="0" autoLine="0" autoPict="0">
                <anchor moveWithCells="1">
                  <from>
                    <xdr:col>2</xdr:col>
                    <xdr:colOff>371475</xdr:colOff>
                    <xdr:row>81</xdr:row>
                    <xdr:rowOff>123825</xdr:rowOff>
                  </from>
                  <to>
                    <xdr:col>2</xdr:col>
                    <xdr:colOff>771525</xdr:colOff>
                    <xdr:row>83</xdr:row>
                    <xdr:rowOff>19050</xdr:rowOff>
                  </to>
                </anchor>
              </controlPr>
            </control>
          </mc:Choice>
        </mc:AlternateContent>
        <mc:AlternateContent xmlns:mc="http://schemas.openxmlformats.org/markup-compatibility/2006">
          <mc:Choice Requires="x14">
            <control shapeId="30947" r:id="rId177" name="Check Box 227">
              <controlPr locked="0" defaultSize="0" autoFill="0" autoLine="0" autoPict="0">
                <anchor moveWithCells="1">
                  <from>
                    <xdr:col>2</xdr:col>
                    <xdr:colOff>723900</xdr:colOff>
                    <xdr:row>81</xdr:row>
                    <xdr:rowOff>123825</xdr:rowOff>
                  </from>
                  <to>
                    <xdr:col>3</xdr:col>
                    <xdr:colOff>314325</xdr:colOff>
                    <xdr:row>83</xdr:row>
                    <xdr:rowOff>19050</xdr:rowOff>
                  </to>
                </anchor>
              </controlPr>
            </control>
          </mc:Choice>
        </mc:AlternateContent>
        <mc:AlternateContent xmlns:mc="http://schemas.openxmlformats.org/markup-compatibility/2006">
          <mc:Choice Requires="x14">
            <control shapeId="30948" r:id="rId178" name="Check Box 228">
              <controlPr locked="0" defaultSize="0" autoFill="0" autoLine="0" autoPict="0">
                <anchor moveWithCells="1">
                  <from>
                    <xdr:col>2</xdr:col>
                    <xdr:colOff>28575</xdr:colOff>
                    <xdr:row>83</xdr:row>
                    <xdr:rowOff>123825</xdr:rowOff>
                  </from>
                  <to>
                    <xdr:col>2</xdr:col>
                    <xdr:colOff>428625</xdr:colOff>
                    <xdr:row>85</xdr:row>
                    <xdr:rowOff>19050</xdr:rowOff>
                  </to>
                </anchor>
              </controlPr>
            </control>
          </mc:Choice>
        </mc:AlternateContent>
        <mc:AlternateContent xmlns:mc="http://schemas.openxmlformats.org/markup-compatibility/2006">
          <mc:Choice Requires="x14">
            <control shapeId="30949" r:id="rId179" name="Check Box 229">
              <controlPr locked="0" defaultSize="0" autoFill="0" autoLine="0" autoPict="0">
                <anchor moveWithCells="1">
                  <from>
                    <xdr:col>2</xdr:col>
                    <xdr:colOff>371475</xdr:colOff>
                    <xdr:row>83</xdr:row>
                    <xdr:rowOff>123825</xdr:rowOff>
                  </from>
                  <to>
                    <xdr:col>2</xdr:col>
                    <xdr:colOff>771525</xdr:colOff>
                    <xdr:row>85</xdr:row>
                    <xdr:rowOff>19050</xdr:rowOff>
                  </to>
                </anchor>
              </controlPr>
            </control>
          </mc:Choice>
        </mc:AlternateContent>
        <mc:AlternateContent xmlns:mc="http://schemas.openxmlformats.org/markup-compatibility/2006">
          <mc:Choice Requires="x14">
            <control shapeId="30950" r:id="rId180" name="Check Box 230">
              <controlPr locked="0" defaultSize="0" autoFill="0" autoLine="0" autoPict="0">
                <anchor moveWithCells="1">
                  <from>
                    <xdr:col>2</xdr:col>
                    <xdr:colOff>723900</xdr:colOff>
                    <xdr:row>83</xdr:row>
                    <xdr:rowOff>123825</xdr:rowOff>
                  </from>
                  <to>
                    <xdr:col>3</xdr:col>
                    <xdr:colOff>314325</xdr:colOff>
                    <xdr:row>85</xdr:row>
                    <xdr:rowOff>19050</xdr:rowOff>
                  </to>
                </anchor>
              </controlPr>
            </control>
          </mc:Choice>
        </mc:AlternateContent>
        <mc:AlternateContent xmlns:mc="http://schemas.openxmlformats.org/markup-compatibility/2006">
          <mc:Choice Requires="x14">
            <control shapeId="30951" r:id="rId181" name="Check Box 231">
              <controlPr locked="0" defaultSize="0" autoFill="0" autoLine="0" autoPict="0">
                <anchor moveWithCells="1">
                  <from>
                    <xdr:col>2</xdr:col>
                    <xdr:colOff>28575</xdr:colOff>
                    <xdr:row>85</xdr:row>
                    <xdr:rowOff>123825</xdr:rowOff>
                  </from>
                  <to>
                    <xdr:col>2</xdr:col>
                    <xdr:colOff>428625</xdr:colOff>
                    <xdr:row>87</xdr:row>
                    <xdr:rowOff>19050</xdr:rowOff>
                  </to>
                </anchor>
              </controlPr>
            </control>
          </mc:Choice>
        </mc:AlternateContent>
        <mc:AlternateContent xmlns:mc="http://schemas.openxmlformats.org/markup-compatibility/2006">
          <mc:Choice Requires="x14">
            <control shapeId="30952" r:id="rId182" name="Check Box 232">
              <controlPr locked="0" defaultSize="0" autoFill="0" autoLine="0" autoPict="0">
                <anchor moveWithCells="1">
                  <from>
                    <xdr:col>2</xdr:col>
                    <xdr:colOff>371475</xdr:colOff>
                    <xdr:row>85</xdr:row>
                    <xdr:rowOff>123825</xdr:rowOff>
                  </from>
                  <to>
                    <xdr:col>2</xdr:col>
                    <xdr:colOff>771525</xdr:colOff>
                    <xdr:row>87</xdr:row>
                    <xdr:rowOff>19050</xdr:rowOff>
                  </to>
                </anchor>
              </controlPr>
            </control>
          </mc:Choice>
        </mc:AlternateContent>
        <mc:AlternateContent xmlns:mc="http://schemas.openxmlformats.org/markup-compatibility/2006">
          <mc:Choice Requires="x14">
            <control shapeId="30953" r:id="rId183" name="Check Box 233">
              <controlPr locked="0" defaultSize="0" autoFill="0" autoLine="0" autoPict="0">
                <anchor moveWithCells="1">
                  <from>
                    <xdr:col>2</xdr:col>
                    <xdr:colOff>723900</xdr:colOff>
                    <xdr:row>85</xdr:row>
                    <xdr:rowOff>123825</xdr:rowOff>
                  </from>
                  <to>
                    <xdr:col>3</xdr:col>
                    <xdr:colOff>314325</xdr:colOff>
                    <xdr:row>87</xdr:row>
                    <xdr:rowOff>19050</xdr:rowOff>
                  </to>
                </anchor>
              </controlPr>
            </control>
          </mc:Choice>
        </mc:AlternateContent>
        <mc:AlternateContent xmlns:mc="http://schemas.openxmlformats.org/markup-compatibility/2006">
          <mc:Choice Requires="x14">
            <control shapeId="30954" r:id="rId184" name="Check Box 234">
              <controlPr locked="0" defaultSize="0" autoFill="0" autoLine="0" autoPict="0">
                <anchor moveWithCells="1">
                  <from>
                    <xdr:col>2</xdr:col>
                    <xdr:colOff>28575</xdr:colOff>
                    <xdr:row>87</xdr:row>
                    <xdr:rowOff>123825</xdr:rowOff>
                  </from>
                  <to>
                    <xdr:col>2</xdr:col>
                    <xdr:colOff>428625</xdr:colOff>
                    <xdr:row>89</xdr:row>
                    <xdr:rowOff>19050</xdr:rowOff>
                  </to>
                </anchor>
              </controlPr>
            </control>
          </mc:Choice>
        </mc:AlternateContent>
        <mc:AlternateContent xmlns:mc="http://schemas.openxmlformats.org/markup-compatibility/2006">
          <mc:Choice Requires="x14">
            <control shapeId="30955" r:id="rId185" name="Check Box 235">
              <controlPr locked="0" defaultSize="0" autoFill="0" autoLine="0" autoPict="0">
                <anchor moveWithCells="1">
                  <from>
                    <xdr:col>2</xdr:col>
                    <xdr:colOff>371475</xdr:colOff>
                    <xdr:row>87</xdr:row>
                    <xdr:rowOff>123825</xdr:rowOff>
                  </from>
                  <to>
                    <xdr:col>2</xdr:col>
                    <xdr:colOff>771525</xdr:colOff>
                    <xdr:row>89</xdr:row>
                    <xdr:rowOff>19050</xdr:rowOff>
                  </to>
                </anchor>
              </controlPr>
            </control>
          </mc:Choice>
        </mc:AlternateContent>
        <mc:AlternateContent xmlns:mc="http://schemas.openxmlformats.org/markup-compatibility/2006">
          <mc:Choice Requires="x14">
            <control shapeId="30956" r:id="rId186" name="Check Box 236">
              <controlPr locked="0" defaultSize="0" autoFill="0" autoLine="0" autoPict="0">
                <anchor moveWithCells="1">
                  <from>
                    <xdr:col>2</xdr:col>
                    <xdr:colOff>723900</xdr:colOff>
                    <xdr:row>87</xdr:row>
                    <xdr:rowOff>123825</xdr:rowOff>
                  </from>
                  <to>
                    <xdr:col>3</xdr:col>
                    <xdr:colOff>314325</xdr:colOff>
                    <xdr:row>89</xdr:row>
                    <xdr:rowOff>19050</xdr:rowOff>
                  </to>
                </anchor>
              </controlPr>
            </control>
          </mc:Choice>
        </mc:AlternateContent>
        <mc:AlternateContent xmlns:mc="http://schemas.openxmlformats.org/markup-compatibility/2006">
          <mc:Choice Requires="x14">
            <control shapeId="30957" r:id="rId187" name="Check Box 237">
              <controlPr locked="0" defaultSize="0" autoFill="0" autoLine="0" autoPict="0">
                <anchor moveWithCells="1">
                  <from>
                    <xdr:col>2</xdr:col>
                    <xdr:colOff>28575</xdr:colOff>
                    <xdr:row>89</xdr:row>
                    <xdr:rowOff>123825</xdr:rowOff>
                  </from>
                  <to>
                    <xdr:col>2</xdr:col>
                    <xdr:colOff>428625</xdr:colOff>
                    <xdr:row>91</xdr:row>
                    <xdr:rowOff>19050</xdr:rowOff>
                  </to>
                </anchor>
              </controlPr>
            </control>
          </mc:Choice>
        </mc:AlternateContent>
        <mc:AlternateContent xmlns:mc="http://schemas.openxmlformats.org/markup-compatibility/2006">
          <mc:Choice Requires="x14">
            <control shapeId="30958" r:id="rId188" name="Check Box 238">
              <controlPr locked="0" defaultSize="0" autoFill="0" autoLine="0" autoPict="0">
                <anchor moveWithCells="1">
                  <from>
                    <xdr:col>2</xdr:col>
                    <xdr:colOff>371475</xdr:colOff>
                    <xdr:row>89</xdr:row>
                    <xdr:rowOff>123825</xdr:rowOff>
                  </from>
                  <to>
                    <xdr:col>2</xdr:col>
                    <xdr:colOff>771525</xdr:colOff>
                    <xdr:row>91</xdr:row>
                    <xdr:rowOff>19050</xdr:rowOff>
                  </to>
                </anchor>
              </controlPr>
            </control>
          </mc:Choice>
        </mc:AlternateContent>
        <mc:AlternateContent xmlns:mc="http://schemas.openxmlformats.org/markup-compatibility/2006">
          <mc:Choice Requires="x14">
            <control shapeId="30959" r:id="rId189" name="Check Box 239">
              <controlPr locked="0" defaultSize="0" autoFill="0" autoLine="0" autoPict="0">
                <anchor moveWithCells="1">
                  <from>
                    <xdr:col>2</xdr:col>
                    <xdr:colOff>723900</xdr:colOff>
                    <xdr:row>89</xdr:row>
                    <xdr:rowOff>123825</xdr:rowOff>
                  </from>
                  <to>
                    <xdr:col>3</xdr:col>
                    <xdr:colOff>314325</xdr:colOff>
                    <xdr:row>91</xdr:row>
                    <xdr:rowOff>19050</xdr:rowOff>
                  </to>
                </anchor>
              </controlPr>
            </control>
          </mc:Choice>
        </mc:AlternateContent>
        <mc:AlternateContent xmlns:mc="http://schemas.openxmlformats.org/markup-compatibility/2006">
          <mc:Choice Requires="x14">
            <control shapeId="30960" r:id="rId190" name="Check Box 240">
              <controlPr locked="0" defaultSize="0" autoFill="0" autoLine="0" autoPict="0">
                <anchor moveWithCells="1">
                  <from>
                    <xdr:col>2</xdr:col>
                    <xdr:colOff>28575</xdr:colOff>
                    <xdr:row>91</xdr:row>
                    <xdr:rowOff>123825</xdr:rowOff>
                  </from>
                  <to>
                    <xdr:col>2</xdr:col>
                    <xdr:colOff>428625</xdr:colOff>
                    <xdr:row>93</xdr:row>
                    <xdr:rowOff>19050</xdr:rowOff>
                  </to>
                </anchor>
              </controlPr>
            </control>
          </mc:Choice>
        </mc:AlternateContent>
        <mc:AlternateContent xmlns:mc="http://schemas.openxmlformats.org/markup-compatibility/2006">
          <mc:Choice Requires="x14">
            <control shapeId="30961" r:id="rId191" name="Check Box 241">
              <controlPr locked="0" defaultSize="0" autoFill="0" autoLine="0" autoPict="0">
                <anchor moveWithCells="1">
                  <from>
                    <xdr:col>2</xdr:col>
                    <xdr:colOff>371475</xdr:colOff>
                    <xdr:row>91</xdr:row>
                    <xdr:rowOff>123825</xdr:rowOff>
                  </from>
                  <to>
                    <xdr:col>2</xdr:col>
                    <xdr:colOff>771525</xdr:colOff>
                    <xdr:row>93</xdr:row>
                    <xdr:rowOff>19050</xdr:rowOff>
                  </to>
                </anchor>
              </controlPr>
            </control>
          </mc:Choice>
        </mc:AlternateContent>
        <mc:AlternateContent xmlns:mc="http://schemas.openxmlformats.org/markup-compatibility/2006">
          <mc:Choice Requires="x14">
            <control shapeId="30962" r:id="rId192" name="Check Box 242">
              <controlPr locked="0" defaultSize="0" autoFill="0" autoLine="0" autoPict="0">
                <anchor moveWithCells="1">
                  <from>
                    <xdr:col>2</xdr:col>
                    <xdr:colOff>723900</xdr:colOff>
                    <xdr:row>91</xdr:row>
                    <xdr:rowOff>123825</xdr:rowOff>
                  </from>
                  <to>
                    <xdr:col>3</xdr:col>
                    <xdr:colOff>314325</xdr:colOff>
                    <xdr:row>93</xdr:row>
                    <xdr:rowOff>19050</xdr:rowOff>
                  </to>
                </anchor>
              </controlPr>
            </control>
          </mc:Choice>
        </mc:AlternateContent>
        <mc:AlternateContent xmlns:mc="http://schemas.openxmlformats.org/markup-compatibility/2006">
          <mc:Choice Requires="x14">
            <control shapeId="30963" r:id="rId193" name="Check Box 243">
              <controlPr locked="0" defaultSize="0" autoFill="0" autoLine="0" autoPict="0">
                <anchor moveWithCells="1">
                  <from>
                    <xdr:col>2</xdr:col>
                    <xdr:colOff>28575</xdr:colOff>
                    <xdr:row>93</xdr:row>
                    <xdr:rowOff>123825</xdr:rowOff>
                  </from>
                  <to>
                    <xdr:col>2</xdr:col>
                    <xdr:colOff>428625</xdr:colOff>
                    <xdr:row>95</xdr:row>
                    <xdr:rowOff>19050</xdr:rowOff>
                  </to>
                </anchor>
              </controlPr>
            </control>
          </mc:Choice>
        </mc:AlternateContent>
        <mc:AlternateContent xmlns:mc="http://schemas.openxmlformats.org/markup-compatibility/2006">
          <mc:Choice Requires="x14">
            <control shapeId="30964" r:id="rId194" name="Check Box 244">
              <controlPr locked="0" defaultSize="0" autoFill="0" autoLine="0" autoPict="0">
                <anchor moveWithCells="1">
                  <from>
                    <xdr:col>2</xdr:col>
                    <xdr:colOff>371475</xdr:colOff>
                    <xdr:row>93</xdr:row>
                    <xdr:rowOff>123825</xdr:rowOff>
                  </from>
                  <to>
                    <xdr:col>2</xdr:col>
                    <xdr:colOff>771525</xdr:colOff>
                    <xdr:row>95</xdr:row>
                    <xdr:rowOff>19050</xdr:rowOff>
                  </to>
                </anchor>
              </controlPr>
            </control>
          </mc:Choice>
        </mc:AlternateContent>
        <mc:AlternateContent xmlns:mc="http://schemas.openxmlformats.org/markup-compatibility/2006">
          <mc:Choice Requires="x14">
            <control shapeId="30965" r:id="rId195" name="Check Box 245">
              <controlPr locked="0" defaultSize="0" autoFill="0" autoLine="0" autoPict="0">
                <anchor moveWithCells="1">
                  <from>
                    <xdr:col>2</xdr:col>
                    <xdr:colOff>723900</xdr:colOff>
                    <xdr:row>93</xdr:row>
                    <xdr:rowOff>123825</xdr:rowOff>
                  </from>
                  <to>
                    <xdr:col>3</xdr:col>
                    <xdr:colOff>314325</xdr:colOff>
                    <xdr:row>95</xdr:row>
                    <xdr:rowOff>19050</xdr:rowOff>
                  </to>
                </anchor>
              </controlPr>
            </control>
          </mc:Choice>
        </mc:AlternateContent>
        <mc:AlternateContent xmlns:mc="http://schemas.openxmlformats.org/markup-compatibility/2006">
          <mc:Choice Requires="x14">
            <control shapeId="30966" r:id="rId196" name="Check Box 246">
              <controlPr locked="0" defaultSize="0" autoFill="0" autoLine="0" autoPict="0">
                <anchor moveWithCells="1">
                  <from>
                    <xdr:col>2</xdr:col>
                    <xdr:colOff>28575</xdr:colOff>
                    <xdr:row>95</xdr:row>
                    <xdr:rowOff>123825</xdr:rowOff>
                  </from>
                  <to>
                    <xdr:col>2</xdr:col>
                    <xdr:colOff>428625</xdr:colOff>
                    <xdr:row>97</xdr:row>
                    <xdr:rowOff>19050</xdr:rowOff>
                  </to>
                </anchor>
              </controlPr>
            </control>
          </mc:Choice>
        </mc:AlternateContent>
        <mc:AlternateContent xmlns:mc="http://schemas.openxmlformats.org/markup-compatibility/2006">
          <mc:Choice Requires="x14">
            <control shapeId="30967" r:id="rId197" name="Check Box 247">
              <controlPr locked="0" defaultSize="0" autoFill="0" autoLine="0" autoPict="0">
                <anchor moveWithCells="1">
                  <from>
                    <xdr:col>2</xdr:col>
                    <xdr:colOff>371475</xdr:colOff>
                    <xdr:row>95</xdr:row>
                    <xdr:rowOff>123825</xdr:rowOff>
                  </from>
                  <to>
                    <xdr:col>2</xdr:col>
                    <xdr:colOff>771525</xdr:colOff>
                    <xdr:row>97</xdr:row>
                    <xdr:rowOff>19050</xdr:rowOff>
                  </to>
                </anchor>
              </controlPr>
            </control>
          </mc:Choice>
        </mc:AlternateContent>
        <mc:AlternateContent xmlns:mc="http://schemas.openxmlformats.org/markup-compatibility/2006">
          <mc:Choice Requires="x14">
            <control shapeId="30968" r:id="rId198" name="Check Box 248">
              <controlPr locked="0" defaultSize="0" autoFill="0" autoLine="0" autoPict="0">
                <anchor moveWithCells="1">
                  <from>
                    <xdr:col>2</xdr:col>
                    <xdr:colOff>723900</xdr:colOff>
                    <xdr:row>95</xdr:row>
                    <xdr:rowOff>123825</xdr:rowOff>
                  </from>
                  <to>
                    <xdr:col>3</xdr:col>
                    <xdr:colOff>314325</xdr:colOff>
                    <xdr:row>97</xdr:row>
                    <xdr:rowOff>19050</xdr:rowOff>
                  </to>
                </anchor>
              </controlPr>
            </control>
          </mc:Choice>
        </mc:AlternateContent>
        <mc:AlternateContent xmlns:mc="http://schemas.openxmlformats.org/markup-compatibility/2006">
          <mc:Choice Requires="x14">
            <control shapeId="30969" r:id="rId199" name="Check Box 249">
              <controlPr locked="0" defaultSize="0" autoFill="0" autoLine="0" autoPict="0">
                <anchor moveWithCells="1">
                  <from>
                    <xdr:col>2</xdr:col>
                    <xdr:colOff>28575</xdr:colOff>
                    <xdr:row>97</xdr:row>
                    <xdr:rowOff>123825</xdr:rowOff>
                  </from>
                  <to>
                    <xdr:col>2</xdr:col>
                    <xdr:colOff>428625</xdr:colOff>
                    <xdr:row>99</xdr:row>
                    <xdr:rowOff>19050</xdr:rowOff>
                  </to>
                </anchor>
              </controlPr>
            </control>
          </mc:Choice>
        </mc:AlternateContent>
        <mc:AlternateContent xmlns:mc="http://schemas.openxmlformats.org/markup-compatibility/2006">
          <mc:Choice Requires="x14">
            <control shapeId="30970" r:id="rId200" name="Check Box 250">
              <controlPr locked="0" defaultSize="0" autoFill="0" autoLine="0" autoPict="0">
                <anchor moveWithCells="1">
                  <from>
                    <xdr:col>2</xdr:col>
                    <xdr:colOff>371475</xdr:colOff>
                    <xdr:row>97</xdr:row>
                    <xdr:rowOff>123825</xdr:rowOff>
                  </from>
                  <to>
                    <xdr:col>2</xdr:col>
                    <xdr:colOff>771525</xdr:colOff>
                    <xdr:row>99</xdr:row>
                    <xdr:rowOff>19050</xdr:rowOff>
                  </to>
                </anchor>
              </controlPr>
            </control>
          </mc:Choice>
        </mc:AlternateContent>
        <mc:AlternateContent xmlns:mc="http://schemas.openxmlformats.org/markup-compatibility/2006">
          <mc:Choice Requires="x14">
            <control shapeId="30971" r:id="rId201" name="Check Box 251">
              <controlPr locked="0" defaultSize="0" autoFill="0" autoLine="0" autoPict="0">
                <anchor moveWithCells="1">
                  <from>
                    <xdr:col>2</xdr:col>
                    <xdr:colOff>723900</xdr:colOff>
                    <xdr:row>97</xdr:row>
                    <xdr:rowOff>123825</xdr:rowOff>
                  </from>
                  <to>
                    <xdr:col>3</xdr:col>
                    <xdr:colOff>314325</xdr:colOff>
                    <xdr:row>99</xdr:row>
                    <xdr:rowOff>19050</xdr:rowOff>
                  </to>
                </anchor>
              </controlPr>
            </control>
          </mc:Choice>
        </mc:AlternateContent>
        <mc:AlternateContent xmlns:mc="http://schemas.openxmlformats.org/markup-compatibility/2006">
          <mc:Choice Requires="x14">
            <control shapeId="30972" r:id="rId202" name="Check Box 252">
              <controlPr locked="0" defaultSize="0" autoFill="0" autoLine="0" autoPict="0">
                <anchor moveWithCells="1">
                  <from>
                    <xdr:col>2</xdr:col>
                    <xdr:colOff>28575</xdr:colOff>
                    <xdr:row>99</xdr:row>
                    <xdr:rowOff>123825</xdr:rowOff>
                  </from>
                  <to>
                    <xdr:col>2</xdr:col>
                    <xdr:colOff>428625</xdr:colOff>
                    <xdr:row>101</xdr:row>
                    <xdr:rowOff>19050</xdr:rowOff>
                  </to>
                </anchor>
              </controlPr>
            </control>
          </mc:Choice>
        </mc:AlternateContent>
        <mc:AlternateContent xmlns:mc="http://schemas.openxmlformats.org/markup-compatibility/2006">
          <mc:Choice Requires="x14">
            <control shapeId="30973" r:id="rId203" name="Check Box 253">
              <controlPr locked="0" defaultSize="0" autoFill="0" autoLine="0" autoPict="0">
                <anchor moveWithCells="1">
                  <from>
                    <xdr:col>2</xdr:col>
                    <xdr:colOff>371475</xdr:colOff>
                    <xdr:row>99</xdr:row>
                    <xdr:rowOff>123825</xdr:rowOff>
                  </from>
                  <to>
                    <xdr:col>2</xdr:col>
                    <xdr:colOff>771525</xdr:colOff>
                    <xdr:row>101</xdr:row>
                    <xdr:rowOff>19050</xdr:rowOff>
                  </to>
                </anchor>
              </controlPr>
            </control>
          </mc:Choice>
        </mc:AlternateContent>
        <mc:AlternateContent xmlns:mc="http://schemas.openxmlformats.org/markup-compatibility/2006">
          <mc:Choice Requires="x14">
            <control shapeId="30974" r:id="rId204" name="Check Box 254">
              <controlPr locked="0" defaultSize="0" autoFill="0" autoLine="0" autoPict="0">
                <anchor moveWithCells="1">
                  <from>
                    <xdr:col>2</xdr:col>
                    <xdr:colOff>723900</xdr:colOff>
                    <xdr:row>99</xdr:row>
                    <xdr:rowOff>123825</xdr:rowOff>
                  </from>
                  <to>
                    <xdr:col>3</xdr:col>
                    <xdr:colOff>314325</xdr:colOff>
                    <xdr:row>101</xdr:row>
                    <xdr:rowOff>19050</xdr:rowOff>
                  </to>
                </anchor>
              </controlPr>
            </control>
          </mc:Choice>
        </mc:AlternateContent>
        <mc:AlternateContent xmlns:mc="http://schemas.openxmlformats.org/markup-compatibility/2006">
          <mc:Choice Requires="x14">
            <control shapeId="30975" r:id="rId205" name="Check Box 255">
              <controlPr locked="0" defaultSize="0" autoFill="0" autoLine="0" autoPict="0">
                <anchor moveWithCells="1">
                  <from>
                    <xdr:col>2</xdr:col>
                    <xdr:colOff>28575</xdr:colOff>
                    <xdr:row>101</xdr:row>
                    <xdr:rowOff>123825</xdr:rowOff>
                  </from>
                  <to>
                    <xdr:col>2</xdr:col>
                    <xdr:colOff>428625</xdr:colOff>
                    <xdr:row>103</xdr:row>
                    <xdr:rowOff>19050</xdr:rowOff>
                  </to>
                </anchor>
              </controlPr>
            </control>
          </mc:Choice>
        </mc:AlternateContent>
        <mc:AlternateContent xmlns:mc="http://schemas.openxmlformats.org/markup-compatibility/2006">
          <mc:Choice Requires="x14">
            <control shapeId="30976" r:id="rId206" name="Check Box 256">
              <controlPr locked="0" defaultSize="0" autoFill="0" autoLine="0" autoPict="0">
                <anchor moveWithCells="1">
                  <from>
                    <xdr:col>2</xdr:col>
                    <xdr:colOff>371475</xdr:colOff>
                    <xdr:row>101</xdr:row>
                    <xdr:rowOff>123825</xdr:rowOff>
                  </from>
                  <to>
                    <xdr:col>2</xdr:col>
                    <xdr:colOff>771525</xdr:colOff>
                    <xdr:row>103</xdr:row>
                    <xdr:rowOff>19050</xdr:rowOff>
                  </to>
                </anchor>
              </controlPr>
            </control>
          </mc:Choice>
        </mc:AlternateContent>
        <mc:AlternateContent xmlns:mc="http://schemas.openxmlformats.org/markup-compatibility/2006">
          <mc:Choice Requires="x14">
            <control shapeId="30977" r:id="rId207" name="Check Box 257">
              <controlPr locked="0" defaultSize="0" autoFill="0" autoLine="0" autoPict="0">
                <anchor moveWithCells="1">
                  <from>
                    <xdr:col>2</xdr:col>
                    <xdr:colOff>723900</xdr:colOff>
                    <xdr:row>101</xdr:row>
                    <xdr:rowOff>123825</xdr:rowOff>
                  </from>
                  <to>
                    <xdr:col>3</xdr:col>
                    <xdr:colOff>314325</xdr:colOff>
                    <xdr:row>103</xdr:row>
                    <xdr:rowOff>19050</xdr:rowOff>
                  </to>
                </anchor>
              </controlPr>
            </control>
          </mc:Choice>
        </mc:AlternateContent>
        <mc:AlternateContent xmlns:mc="http://schemas.openxmlformats.org/markup-compatibility/2006">
          <mc:Choice Requires="x14">
            <control shapeId="30978" r:id="rId208" name="Check Box 258">
              <controlPr locked="0" defaultSize="0" autoFill="0" autoLine="0" autoPict="0">
                <anchor moveWithCells="1">
                  <from>
                    <xdr:col>1</xdr:col>
                    <xdr:colOff>638175</xdr:colOff>
                    <xdr:row>108</xdr:row>
                    <xdr:rowOff>142875</xdr:rowOff>
                  </from>
                  <to>
                    <xdr:col>2</xdr:col>
                    <xdr:colOff>638175</xdr:colOff>
                    <xdr:row>110</xdr:row>
                    <xdr:rowOff>28575</xdr:rowOff>
                  </to>
                </anchor>
              </controlPr>
            </control>
          </mc:Choice>
        </mc:AlternateContent>
        <mc:AlternateContent xmlns:mc="http://schemas.openxmlformats.org/markup-compatibility/2006">
          <mc:Choice Requires="x14">
            <control shapeId="30982" r:id="rId209" name="Check Box 262">
              <controlPr locked="0" defaultSize="0" autoFill="0" autoLine="0" autoPict="0">
                <anchor moveWithCells="1">
                  <from>
                    <xdr:col>2</xdr:col>
                    <xdr:colOff>733425</xdr:colOff>
                    <xdr:row>108</xdr:row>
                    <xdr:rowOff>142875</xdr:rowOff>
                  </from>
                  <to>
                    <xdr:col>3</xdr:col>
                    <xdr:colOff>733425</xdr:colOff>
                    <xdr:row>110</xdr:row>
                    <xdr:rowOff>28575</xdr:rowOff>
                  </to>
                </anchor>
              </controlPr>
            </control>
          </mc:Choice>
        </mc:AlternateContent>
        <mc:AlternateContent xmlns:mc="http://schemas.openxmlformats.org/markup-compatibility/2006">
          <mc:Choice Requires="x14">
            <control shapeId="30983" r:id="rId210" name="Check Box 263">
              <controlPr locked="0" defaultSize="0" autoFill="0" autoLine="0" autoPict="0">
                <anchor moveWithCells="1">
                  <from>
                    <xdr:col>4</xdr:col>
                    <xdr:colOff>19050</xdr:colOff>
                    <xdr:row>108</xdr:row>
                    <xdr:rowOff>142875</xdr:rowOff>
                  </from>
                  <to>
                    <xdr:col>5</xdr:col>
                    <xdr:colOff>19050</xdr:colOff>
                    <xdr:row>110</xdr:row>
                    <xdr:rowOff>28575</xdr:rowOff>
                  </to>
                </anchor>
              </controlPr>
            </control>
          </mc:Choice>
        </mc:AlternateContent>
        <mc:AlternateContent xmlns:mc="http://schemas.openxmlformats.org/markup-compatibility/2006">
          <mc:Choice Requires="x14">
            <control shapeId="30985" r:id="rId211" name="Check Box 265">
              <controlPr locked="0" defaultSize="0" autoFill="0" autoLine="0" autoPict="0">
                <anchor moveWithCells="1">
                  <from>
                    <xdr:col>5</xdr:col>
                    <xdr:colOff>114300</xdr:colOff>
                    <xdr:row>109</xdr:row>
                    <xdr:rowOff>38100</xdr:rowOff>
                  </from>
                  <to>
                    <xdr:col>6</xdr:col>
                    <xdr:colOff>285750</xdr:colOff>
                    <xdr:row>110</xdr:row>
                    <xdr:rowOff>95250</xdr:rowOff>
                  </to>
                </anchor>
              </controlPr>
            </control>
          </mc:Choice>
        </mc:AlternateContent>
        <mc:AlternateContent xmlns:mc="http://schemas.openxmlformats.org/markup-compatibility/2006">
          <mc:Choice Requires="x14">
            <control shapeId="30986" r:id="rId212" name="Check Box 266">
              <controlPr locked="0" defaultSize="0" autoFill="0" autoLine="0" autoPict="0">
                <anchor moveWithCells="1">
                  <from>
                    <xdr:col>1</xdr:col>
                    <xdr:colOff>638175</xdr:colOff>
                    <xdr:row>109</xdr:row>
                    <xdr:rowOff>133350</xdr:rowOff>
                  </from>
                  <to>
                    <xdr:col>2</xdr:col>
                    <xdr:colOff>638175</xdr:colOff>
                    <xdr:row>111</xdr:row>
                    <xdr:rowOff>28575</xdr:rowOff>
                  </to>
                </anchor>
              </controlPr>
            </control>
          </mc:Choice>
        </mc:AlternateContent>
        <mc:AlternateContent xmlns:mc="http://schemas.openxmlformats.org/markup-compatibility/2006">
          <mc:Choice Requires="x14">
            <control shapeId="30987" r:id="rId213" name="Check Box 267">
              <controlPr locked="0" defaultSize="0" autoFill="0" autoLine="0" autoPict="0">
                <anchor moveWithCells="1">
                  <from>
                    <xdr:col>2</xdr:col>
                    <xdr:colOff>733425</xdr:colOff>
                    <xdr:row>109</xdr:row>
                    <xdr:rowOff>133350</xdr:rowOff>
                  </from>
                  <to>
                    <xdr:col>3</xdr:col>
                    <xdr:colOff>733425</xdr:colOff>
                    <xdr:row>111</xdr:row>
                    <xdr:rowOff>28575</xdr:rowOff>
                  </to>
                </anchor>
              </controlPr>
            </control>
          </mc:Choice>
        </mc:AlternateContent>
        <mc:AlternateContent xmlns:mc="http://schemas.openxmlformats.org/markup-compatibility/2006">
          <mc:Choice Requires="x14">
            <control shapeId="30988" r:id="rId214" name="Check Box 268">
              <controlPr locked="0" defaultSize="0" autoFill="0" autoLine="0" autoPict="0">
                <anchor moveWithCells="1">
                  <from>
                    <xdr:col>4</xdr:col>
                    <xdr:colOff>19050</xdr:colOff>
                    <xdr:row>109</xdr:row>
                    <xdr:rowOff>133350</xdr:rowOff>
                  </from>
                  <to>
                    <xdr:col>5</xdr:col>
                    <xdr:colOff>19050</xdr:colOff>
                    <xdr:row>111</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101" enableFormatConditionsCalculation="0">
    <tabColor indexed="63"/>
    <pageSetUpPr fitToPage="1"/>
  </sheetPr>
  <dimension ref="A1:J60"/>
  <sheetViews>
    <sheetView showGridLines="0" showRowColHeaders="0" showZeros="0" tabSelected="1" view="pageBreakPreview" zoomScaleNormal="100" workbookViewId="0">
      <selection activeCell="C14" sqref="C14"/>
    </sheetView>
  </sheetViews>
  <sheetFormatPr defaultRowHeight="12.75" x14ac:dyDescent="0.2"/>
  <cols>
    <col min="1" max="1" width="4.7109375" style="4" customWidth="1"/>
    <col min="2" max="6" width="18.7109375" style="4" customWidth="1"/>
    <col min="7" max="7" width="4.7109375" style="4" customWidth="1"/>
    <col min="8" max="8" width="9.140625" style="4"/>
    <col min="9" max="10" width="15.7109375" style="4" hidden="1" customWidth="1"/>
    <col min="11" max="16384" width="9.140625" style="4"/>
  </cols>
  <sheetData>
    <row r="1" spans="1:10" ht="26.25" customHeight="1" thickBot="1" x14ac:dyDescent="0.25">
      <c r="A1" s="579"/>
      <c r="B1" s="580"/>
      <c r="C1" s="2"/>
      <c r="D1" s="3" t="s">
        <v>27</v>
      </c>
      <c r="E1" s="2"/>
      <c r="F1" s="571" t="s">
        <v>323</v>
      </c>
      <c r="G1" s="572"/>
    </row>
    <row r="2" spans="1:10" ht="18" customHeight="1" thickBot="1" x14ac:dyDescent="0.25">
      <c r="A2" s="581"/>
      <c r="B2" s="582"/>
      <c r="C2" s="5"/>
      <c r="D2" s="6" t="s">
        <v>28</v>
      </c>
      <c r="E2" s="5"/>
      <c r="F2" s="573"/>
      <c r="G2" s="574"/>
    </row>
    <row r="3" spans="1:10" ht="9.75" customHeight="1" thickBot="1" x14ac:dyDescent="0.25">
      <c r="A3" s="583"/>
      <c r="B3" s="584"/>
      <c r="C3" s="2"/>
      <c r="D3" s="2"/>
      <c r="E3" s="2"/>
      <c r="F3" s="575"/>
      <c r="G3" s="576"/>
    </row>
    <row r="4" spans="1:10" ht="18" customHeight="1" thickBot="1" x14ac:dyDescent="0.25">
      <c r="A4" s="2"/>
      <c r="B4" s="273"/>
      <c r="C4" s="274"/>
      <c r="D4" s="275" t="s">
        <v>31</v>
      </c>
      <c r="E4" s="274"/>
      <c r="F4" s="276"/>
      <c r="G4" s="2"/>
    </row>
    <row r="5" spans="1:10" x14ac:dyDescent="0.2">
      <c r="A5" s="2"/>
      <c r="B5" s="2"/>
      <c r="C5" s="2"/>
      <c r="D5" s="2"/>
      <c r="E5" s="2"/>
      <c r="F5" s="7" t="s">
        <v>29</v>
      </c>
      <c r="G5" s="2"/>
    </row>
    <row r="6" spans="1:10" x14ac:dyDescent="0.2">
      <c r="A6" s="2"/>
      <c r="B6" s="8" t="s">
        <v>30</v>
      </c>
      <c r="C6" s="2"/>
      <c r="D6" s="2"/>
      <c r="E6" s="2"/>
      <c r="F6" s="7" t="s">
        <v>113</v>
      </c>
      <c r="G6" s="2"/>
    </row>
    <row r="7" spans="1:10" ht="22.5" customHeight="1" x14ac:dyDescent="0.2">
      <c r="A7" s="2"/>
      <c r="B7" s="460" t="s">
        <v>327</v>
      </c>
      <c r="C7" s="277"/>
      <c r="D7" s="278"/>
      <c r="E7" s="2"/>
      <c r="F7" s="10" t="s">
        <v>324</v>
      </c>
      <c r="G7" s="2"/>
    </row>
    <row r="8" spans="1:10" ht="12.75" customHeight="1" x14ac:dyDescent="0.15">
      <c r="A8" s="2"/>
      <c r="B8" s="9"/>
      <c r="C8" s="9"/>
      <c r="D8" s="9"/>
      <c r="E8" s="2"/>
      <c r="F8" s="521" t="s">
        <v>314</v>
      </c>
      <c r="G8" s="2"/>
    </row>
    <row r="9" spans="1:10" ht="15" customHeight="1" x14ac:dyDescent="0.15">
      <c r="A9" s="2"/>
      <c r="B9" s="8" t="s">
        <v>62</v>
      </c>
      <c r="C9" s="2"/>
      <c r="D9" s="2"/>
      <c r="E9" s="2"/>
      <c r="F9" s="522">
        <v>39691</v>
      </c>
      <c r="G9" s="2"/>
      <c r="I9" s="234" t="s">
        <v>33</v>
      </c>
      <c r="J9" s="234" t="s">
        <v>34</v>
      </c>
    </row>
    <row r="10" spans="1:10" ht="15" customHeight="1" x14ac:dyDescent="0.15">
      <c r="A10" s="2"/>
      <c r="B10" s="456" t="s">
        <v>37</v>
      </c>
      <c r="C10" s="577" t="str">
        <f>IF(OR(B10=I10,B10=I11),J10,IF(OR(B10=I12,B10=I13),J12,IF(OR(B10=I14,B10=I15),J14,IF(OR(B10=I16,B10=I17),J16,IF(OR(B10=I18,B10=I19),J18,IF(OR(B10=I20,B10=I21),J20,"greska"))))))</f>
        <v>djevojčice i dječaci do 12 god.</v>
      </c>
      <c r="D10" s="578"/>
      <c r="E10" s="2"/>
      <c r="F10" s="2"/>
      <c r="G10" s="2"/>
      <c r="I10" s="234" t="s">
        <v>35</v>
      </c>
      <c r="J10" s="234" t="s">
        <v>36</v>
      </c>
    </row>
    <row r="11" spans="1:10" ht="15" customHeight="1" x14ac:dyDescent="0.15">
      <c r="A11" s="2"/>
      <c r="B11" s="8" t="s">
        <v>58</v>
      </c>
      <c r="C11" s="8" t="s">
        <v>3</v>
      </c>
      <c r="D11" s="8" t="s">
        <v>32</v>
      </c>
      <c r="E11" s="8" t="s">
        <v>2</v>
      </c>
      <c r="F11" s="8" t="s">
        <v>5</v>
      </c>
      <c r="G11" s="2"/>
      <c r="I11" s="234" t="s">
        <v>37</v>
      </c>
      <c r="J11" s="234"/>
    </row>
    <row r="12" spans="1:10" ht="15" customHeight="1" x14ac:dyDescent="0.15">
      <c r="A12" s="2"/>
      <c r="B12" s="456" t="s">
        <v>616</v>
      </c>
      <c r="C12" s="456" t="s">
        <v>613</v>
      </c>
      <c r="D12" s="456" t="s">
        <v>328</v>
      </c>
      <c r="E12" s="456" t="s">
        <v>93</v>
      </c>
      <c r="F12" s="456" t="s">
        <v>329</v>
      </c>
      <c r="G12" s="2"/>
      <c r="I12" s="234" t="s">
        <v>38</v>
      </c>
      <c r="J12" s="234" t="s">
        <v>39</v>
      </c>
    </row>
    <row r="13" spans="1:10" ht="15" customHeight="1" x14ac:dyDescent="0.15">
      <c r="A13" s="2"/>
      <c r="B13" s="8" t="s">
        <v>75</v>
      </c>
      <c r="C13" s="2"/>
      <c r="D13" s="2"/>
      <c r="E13" s="8" t="s">
        <v>63</v>
      </c>
      <c r="F13" s="8" t="s">
        <v>21</v>
      </c>
      <c r="G13" s="2"/>
      <c r="I13" s="234" t="s">
        <v>40</v>
      </c>
      <c r="J13" s="234"/>
    </row>
    <row r="14" spans="1:10" ht="15" customHeight="1" x14ac:dyDescent="0.15">
      <c r="A14" s="2"/>
      <c r="B14" s="457" t="s">
        <v>614</v>
      </c>
      <c r="C14" s="2"/>
      <c r="D14" s="2"/>
      <c r="E14" s="456" t="s">
        <v>330</v>
      </c>
      <c r="F14" s="458" t="s">
        <v>331</v>
      </c>
      <c r="G14" s="2"/>
      <c r="I14" s="234" t="s">
        <v>41</v>
      </c>
      <c r="J14" s="234" t="s">
        <v>42</v>
      </c>
    </row>
    <row r="15" spans="1:10" ht="15" customHeight="1" x14ac:dyDescent="0.15">
      <c r="A15" s="2"/>
      <c r="B15" s="8" t="s">
        <v>4</v>
      </c>
      <c r="C15" s="2"/>
      <c r="D15" s="2"/>
      <c r="E15" s="8" t="s">
        <v>64</v>
      </c>
      <c r="F15" s="459"/>
      <c r="G15" s="2"/>
      <c r="I15" s="234" t="s">
        <v>43</v>
      </c>
      <c r="J15" s="234"/>
    </row>
    <row r="16" spans="1:10" ht="15" customHeight="1" x14ac:dyDescent="0.15">
      <c r="A16" s="2"/>
      <c r="B16" s="456" t="s">
        <v>615</v>
      </c>
      <c r="C16" s="2"/>
      <c r="D16" s="2"/>
      <c r="E16" s="456" t="s">
        <v>332</v>
      </c>
      <c r="F16" s="2"/>
      <c r="G16" s="2"/>
      <c r="I16" s="234" t="s">
        <v>44</v>
      </c>
      <c r="J16" s="234" t="s">
        <v>45</v>
      </c>
    </row>
    <row r="17" spans="1:10" x14ac:dyDescent="0.15">
      <c r="A17" s="2"/>
      <c r="B17" s="2"/>
      <c r="C17" s="2"/>
      <c r="D17" s="2"/>
      <c r="E17" s="2"/>
      <c r="F17" s="2"/>
      <c r="G17" s="2"/>
      <c r="I17" s="234" t="s">
        <v>46</v>
      </c>
      <c r="J17" s="234"/>
    </row>
    <row r="18" spans="1:10" x14ac:dyDescent="0.15">
      <c r="A18" s="2"/>
      <c r="B18" s="2"/>
      <c r="C18" s="2"/>
      <c r="D18" s="2"/>
      <c r="E18" s="2"/>
      <c r="F18" s="2"/>
      <c r="G18" s="2"/>
      <c r="I18" s="234" t="s">
        <v>47</v>
      </c>
      <c r="J18" s="234" t="s">
        <v>48</v>
      </c>
    </row>
    <row r="19" spans="1:10" ht="12.75" customHeight="1" x14ac:dyDescent="0.15">
      <c r="A19" s="2"/>
      <c r="B19" s="585" t="s">
        <v>319</v>
      </c>
      <c r="C19" s="586"/>
      <c r="D19" s="586"/>
      <c r="E19" s="586"/>
      <c r="F19" s="587"/>
      <c r="G19" s="2"/>
      <c r="I19" s="234" t="s">
        <v>49</v>
      </c>
      <c r="J19" s="234"/>
    </row>
    <row r="20" spans="1:10" ht="12.75" customHeight="1" x14ac:dyDescent="0.15">
      <c r="A20" s="2"/>
      <c r="B20" s="588"/>
      <c r="C20" s="589"/>
      <c r="D20" s="589"/>
      <c r="E20" s="589"/>
      <c r="F20" s="590"/>
      <c r="G20" s="2"/>
      <c r="I20" s="234" t="s">
        <v>50</v>
      </c>
      <c r="J20" s="234" t="s">
        <v>51</v>
      </c>
    </row>
    <row r="21" spans="1:10" x14ac:dyDescent="0.15">
      <c r="A21" s="2"/>
      <c r="B21" s="588"/>
      <c r="C21" s="589"/>
      <c r="D21" s="589"/>
      <c r="E21" s="589"/>
      <c r="F21" s="590"/>
      <c r="G21" s="2"/>
      <c r="I21" s="234" t="s">
        <v>52</v>
      </c>
      <c r="J21" s="234"/>
    </row>
    <row r="22" spans="1:10" x14ac:dyDescent="0.2">
      <c r="A22" s="2"/>
      <c r="B22" s="588"/>
      <c r="C22" s="589"/>
      <c r="D22" s="589"/>
      <c r="E22" s="589"/>
      <c r="F22" s="590"/>
      <c r="G22" s="2"/>
    </row>
    <row r="23" spans="1:10" x14ac:dyDescent="0.2">
      <c r="A23" s="2"/>
      <c r="B23" s="588"/>
      <c r="C23" s="589"/>
      <c r="D23" s="589"/>
      <c r="E23" s="589"/>
      <c r="F23" s="590"/>
      <c r="G23" s="2"/>
    </row>
    <row r="24" spans="1:10" x14ac:dyDescent="0.2">
      <c r="A24" s="2"/>
      <c r="B24" s="588"/>
      <c r="C24" s="589"/>
      <c r="D24" s="589"/>
      <c r="E24" s="589"/>
      <c r="F24" s="590"/>
      <c r="G24" s="2"/>
    </row>
    <row r="25" spans="1:10" x14ac:dyDescent="0.2">
      <c r="A25" s="2"/>
      <c r="B25" s="588"/>
      <c r="C25" s="589"/>
      <c r="D25" s="589"/>
      <c r="E25" s="589"/>
      <c r="F25" s="590"/>
      <c r="G25" s="2"/>
    </row>
    <row r="26" spans="1:10" x14ac:dyDescent="0.2">
      <c r="A26" s="2"/>
      <c r="B26" s="588"/>
      <c r="C26" s="589"/>
      <c r="D26" s="589"/>
      <c r="E26" s="589"/>
      <c r="F26" s="590"/>
      <c r="G26" s="2"/>
    </row>
    <row r="27" spans="1:10" x14ac:dyDescent="0.2">
      <c r="A27" s="2"/>
      <c r="B27" s="588"/>
      <c r="C27" s="589"/>
      <c r="D27" s="589"/>
      <c r="E27" s="589"/>
      <c r="F27" s="590"/>
      <c r="G27" s="2"/>
    </row>
    <row r="28" spans="1:10" x14ac:dyDescent="0.2">
      <c r="A28" s="2"/>
      <c r="B28" s="588"/>
      <c r="C28" s="589"/>
      <c r="D28" s="589"/>
      <c r="E28" s="589"/>
      <c r="F28" s="590"/>
      <c r="G28" s="2"/>
    </row>
    <row r="29" spans="1:10" x14ac:dyDescent="0.2">
      <c r="A29" s="2"/>
      <c r="B29" s="588"/>
      <c r="C29" s="589"/>
      <c r="D29" s="589"/>
      <c r="E29" s="589"/>
      <c r="F29" s="590"/>
      <c r="G29" s="2"/>
    </row>
    <row r="30" spans="1:10" x14ac:dyDescent="0.2">
      <c r="A30" s="2"/>
      <c r="B30" s="588"/>
      <c r="C30" s="589"/>
      <c r="D30" s="589"/>
      <c r="E30" s="589"/>
      <c r="F30" s="590"/>
      <c r="G30" s="2"/>
    </row>
    <row r="31" spans="1:10" x14ac:dyDescent="0.2">
      <c r="A31" s="2"/>
      <c r="B31" s="588"/>
      <c r="C31" s="589"/>
      <c r="D31" s="589"/>
      <c r="E31" s="589"/>
      <c r="F31" s="590"/>
      <c r="G31" s="2"/>
    </row>
    <row r="32" spans="1:10" x14ac:dyDescent="0.2">
      <c r="A32" s="2"/>
      <c r="B32" s="588"/>
      <c r="C32" s="589"/>
      <c r="D32" s="589"/>
      <c r="E32" s="589"/>
      <c r="F32" s="590"/>
      <c r="G32" s="2"/>
    </row>
    <row r="33" spans="1:7" x14ac:dyDescent="0.2">
      <c r="A33" s="2"/>
      <c r="B33" s="588"/>
      <c r="C33" s="589"/>
      <c r="D33" s="589"/>
      <c r="E33" s="589"/>
      <c r="F33" s="590"/>
      <c r="G33" s="2"/>
    </row>
    <row r="34" spans="1:7" x14ac:dyDescent="0.2">
      <c r="A34" s="2"/>
      <c r="B34" s="588"/>
      <c r="C34" s="589"/>
      <c r="D34" s="589"/>
      <c r="E34" s="589"/>
      <c r="F34" s="590"/>
      <c r="G34" s="2"/>
    </row>
    <row r="35" spans="1:7" x14ac:dyDescent="0.2">
      <c r="A35" s="2"/>
      <c r="B35" s="588"/>
      <c r="C35" s="589"/>
      <c r="D35" s="589"/>
      <c r="E35" s="589"/>
      <c r="F35" s="590"/>
      <c r="G35" s="2"/>
    </row>
    <row r="36" spans="1:7" x14ac:dyDescent="0.2">
      <c r="A36" s="2"/>
      <c r="B36" s="588"/>
      <c r="C36" s="589"/>
      <c r="D36" s="589"/>
      <c r="E36" s="589"/>
      <c r="F36" s="590"/>
      <c r="G36" s="2"/>
    </row>
    <row r="37" spans="1:7" x14ac:dyDescent="0.2">
      <c r="A37" s="2"/>
      <c r="B37" s="588"/>
      <c r="C37" s="589"/>
      <c r="D37" s="589"/>
      <c r="E37" s="589"/>
      <c r="F37" s="590"/>
      <c r="G37" s="2"/>
    </row>
    <row r="38" spans="1:7" x14ac:dyDescent="0.2">
      <c r="A38" s="2"/>
      <c r="B38" s="588"/>
      <c r="C38" s="589"/>
      <c r="D38" s="589"/>
      <c r="E38" s="589"/>
      <c r="F38" s="590"/>
      <c r="G38" s="2"/>
    </row>
    <row r="39" spans="1:7" x14ac:dyDescent="0.2">
      <c r="A39" s="2"/>
      <c r="B39" s="588"/>
      <c r="C39" s="589"/>
      <c r="D39" s="589"/>
      <c r="E39" s="589"/>
      <c r="F39" s="590"/>
      <c r="G39" s="2"/>
    </row>
    <row r="40" spans="1:7" x14ac:dyDescent="0.2">
      <c r="A40" s="2"/>
      <c r="B40" s="588"/>
      <c r="C40" s="589"/>
      <c r="D40" s="589"/>
      <c r="E40" s="589"/>
      <c r="F40" s="590"/>
      <c r="G40" s="2"/>
    </row>
    <row r="41" spans="1:7" x14ac:dyDescent="0.2">
      <c r="A41" s="2"/>
      <c r="B41" s="588"/>
      <c r="C41" s="589"/>
      <c r="D41" s="589"/>
      <c r="E41" s="589"/>
      <c r="F41" s="590"/>
      <c r="G41" s="2"/>
    </row>
    <row r="42" spans="1:7" x14ac:dyDescent="0.2">
      <c r="A42" s="2"/>
      <c r="B42" s="588"/>
      <c r="C42" s="589"/>
      <c r="D42" s="589"/>
      <c r="E42" s="589"/>
      <c r="F42" s="590"/>
      <c r="G42" s="2"/>
    </row>
    <row r="43" spans="1:7" x14ac:dyDescent="0.2">
      <c r="A43" s="2"/>
      <c r="B43" s="588"/>
      <c r="C43" s="589"/>
      <c r="D43" s="589"/>
      <c r="E43" s="589"/>
      <c r="F43" s="590"/>
      <c r="G43" s="2"/>
    </row>
    <row r="44" spans="1:7" x14ac:dyDescent="0.2">
      <c r="A44" s="2"/>
      <c r="B44" s="588"/>
      <c r="C44" s="589"/>
      <c r="D44" s="589"/>
      <c r="E44" s="589"/>
      <c r="F44" s="590"/>
      <c r="G44" s="2"/>
    </row>
    <row r="45" spans="1:7" x14ac:dyDescent="0.2">
      <c r="A45" s="2"/>
      <c r="B45" s="588"/>
      <c r="C45" s="589"/>
      <c r="D45" s="589"/>
      <c r="E45" s="589"/>
      <c r="F45" s="590"/>
      <c r="G45" s="2"/>
    </row>
    <row r="46" spans="1:7" x14ac:dyDescent="0.2">
      <c r="A46" s="2"/>
      <c r="B46" s="588"/>
      <c r="C46" s="589"/>
      <c r="D46" s="589"/>
      <c r="E46" s="589"/>
      <c r="F46" s="590"/>
      <c r="G46" s="2"/>
    </row>
    <row r="47" spans="1:7" x14ac:dyDescent="0.2">
      <c r="A47" s="2"/>
      <c r="B47" s="588"/>
      <c r="C47" s="589"/>
      <c r="D47" s="589"/>
      <c r="E47" s="589"/>
      <c r="F47" s="590"/>
      <c r="G47" s="2"/>
    </row>
    <row r="48" spans="1:7" x14ac:dyDescent="0.2">
      <c r="A48" s="2"/>
      <c r="B48" s="591"/>
      <c r="C48" s="592"/>
      <c r="D48" s="592"/>
      <c r="E48" s="592"/>
      <c r="F48" s="593"/>
      <c r="G48" s="2"/>
    </row>
    <row r="49" spans="1:7" x14ac:dyDescent="0.2">
      <c r="A49" s="2"/>
      <c r="B49" s="2"/>
      <c r="C49" s="2"/>
      <c r="D49" s="2"/>
      <c r="E49" s="2"/>
      <c r="F49" s="2"/>
      <c r="G49" s="2"/>
    </row>
    <row r="50" spans="1:7" x14ac:dyDescent="0.2">
      <c r="A50" s="2"/>
      <c r="B50" s="2"/>
      <c r="C50" s="2"/>
      <c r="D50" s="2"/>
      <c r="E50" s="2"/>
      <c r="F50" s="2"/>
      <c r="G50" s="2"/>
    </row>
    <row r="51" spans="1:7" x14ac:dyDescent="0.2">
      <c r="A51" s="2"/>
      <c r="B51" s="2"/>
      <c r="C51" s="2"/>
      <c r="D51" s="2"/>
      <c r="E51" s="2"/>
      <c r="F51" s="2"/>
      <c r="G51" s="2"/>
    </row>
    <row r="52" spans="1:7" x14ac:dyDescent="0.2">
      <c r="A52" s="2"/>
      <c r="B52" s="2"/>
      <c r="C52" s="2"/>
      <c r="D52" s="2"/>
      <c r="E52" s="2"/>
      <c r="F52" s="2"/>
      <c r="G52" s="2"/>
    </row>
    <row r="53" spans="1:7" x14ac:dyDescent="0.2">
      <c r="A53" s="2"/>
      <c r="B53" s="2"/>
      <c r="C53" s="2"/>
      <c r="D53" s="2"/>
      <c r="E53" s="2"/>
      <c r="F53" s="2"/>
      <c r="G53" s="2"/>
    </row>
    <row r="54" spans="1:7" x14ac:dyDescent="0.2">
      <c r="A54" s="2"/>
      <c r="B54" s="2"/>
      <c r="C54" s="2"/>
      <c r="D54" s="2"/>
      <c r="E54" s="2"/>
      <c r="F54" s="2"/>
      <c r="G54" s="2"/>
    </row>
    <row r="55" spans="1:7" x14ac:dyDescent="0.2">
      <c r="A55" s="2"/>
      <c r="B55" s="2"/>
      <c r="C55" s="2"/>
      <c r="D55" s="2"/>
      <c r="E55" s="2"/>
      <c r="F55" s="2"/>
      <c r="G55" s="2"/>
    </row>
    <row r="56" spans="1:7" x14ac:dyDescent="0.2">
      <c r="A56" s="2"/>
      <c r="B56" s="2"/>
      <c r="C56" s="2"/>
      <c r="D56" s="2"/>
      <c r="E56" s="2"/>
      <c r="F56" s="2"/>
      <c r="G56" s="2"/>
    </row>
    <row r="57" spans="1:7" x14ac:dyDescent="0.2">
      <c r="A57" s="2"/>
      <c r="B57" s="2"/>
      <c r="C57" s="2"/>
      <c r="D57" s="451" t="s">
        <v>306</v>
      </c>
      <c r="E57" s="2"/>
      <c r="F57" s="2"/>
      <c r="G57" s="2"/>
    </row>
    <row r="58" spans="1:7" x14ac:dyDescent="0.2">
      <c r="A58" s="8"/>
      <c r="B58" s="2"/>
      <c r="C58" s="2"/>
      <c r="D58" s="451" t="s">
        <v>307</v>
      </c>
      <c r="E58" s="2"/>
      <c r="F58" s="2"/>
      <c r="G58" s="449"/>
    </row>
    <row r="59" spans="1:7" x14ac:dyDescent="0.2">
      <c r="A59" s="452"/>
      <c r="B59" s="2"/>
      <c r="C59" s="2"/>
      <c r="D59" s="451" t="s">
        <v>325</v>
      </c>
      <c r="E59" s="2"/>
      <c r="F59" s="2"/>
      <c r="G59" s="450"/>
    </row>
    <row r="60" spans="1:7" x14ac:dyDescent="0.2">
      <c r="A60" s="8"/>
      <c r="B60" s="2"/>
      <c r="C60" s="2"/>
      <c r="D60" s="451"/>
      <c r="E60" s="2"/>
      <c r="F60" s="2"/>
      <c r="G60" s="2"/>
    </row>
  </sheetData>
  <sheetProtection password="CC5C" sheet="1" objects="1" scenarios="1" sort="0" autoFilter="0"/>
  <mergeCells count="4">
    <mergeCell ref="F1:G3"/>
    <mergeCell ref="C10:D10"/>
    <mergeCell ref="A1:B3"/>
    <mergeCell ref="B19:F48"/>
  </mergeCells>
  <phoneticPr fontId="16" type="noConversion"/>
  <dataValidations count="1">
    <dataValidation type="list" allowBlank="1" showInputMessage="1" showErrorMessage="1" prompt="Odaberi" sqref="B10">
      <formula1>$I$10:$I$21</formula1>
    </dataValidation>
  </dataValidations>
  <printOptions horizontalCentered="1"/>
  <pageMargins left="0.19685039370078741" right="0.19685039370078741" top="0.19685039370078741" bottom="0.39370078740157483" header="0.51181102362204722" footer="0.51181102362204722"/>
  <pageSetup paperSize="9" scale="98" orientation="portrait" horizontalDpi="1200" verticalDpi="12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202"/>
  <dimension ref="A1:R210"/>
  <sheetViews>
    <sheetView showGridLines="0" showRowColHeaders="0" showZeros="0" view="pageBreakPreview" zoomScaleNormal="100" workbookViewId="0">
      <pane ySplit="10" topLeftCell="A41" activePane="bottomLeft" state="frozenSplit"/>
      <selection activeCell="D18" sqref="D18"/>
      <selection pane="bottomLeft" activeCell="A3" sqref="A3"/>
    </sheetView>
  </sheetViews>
  <sheetFormatPr defaultRowHeight="12.75" x14ac:dyDescent="0.2"/>
  <cols>
    <col min="1" max="1" width="3.7109375" style="14" customWidth="1"/>
    <col min="2" max="2" width="20.7109375" style="14" customWidth="1"/>
    <col min="3" max="3" width="15.7109375" style="14" customWidth="1"/>
    <col min="4" max="7" width="8.7109375" style="14" customWidth="1"/>
    <col min="8" max="8" width="20.7109375" style="14" customWidth="1"/>
    <col min="9" max="16384" width="9.140625" style="14"/>
  </cols>
  <sheetData>
    <row r="1" spans="1:18" ht="22.5" x14ac:dyDescent="0.3">
      <c r="A1" s="11" t="str">
        <f>Pocetna!$B$7</f>
        <v xml:space="preserve">OP SAMOBORA </v>
      </c>
      <c r="B1" s="12"/>
      <c r="C1" s="12"/>
      <c r="D1" s="12"/>
      <c r="E1" s="12"/>
      <c r="F1" s="13"/>
      <c r="G1" s="13"/>
      <c r="H1" s="272"/>
      <c r="I1" s="13"/>
      <c r="J1" s="13"/>
      <c r="K1" s="13"/>
      <c r="L1" s="13"/>
      <c r="M1" s="13"/>
      <c r="N1" s="13"/>
      <c r="O1" s="13"/>
      <c r="P1" s="13"/>
      <c r="Q1" s="13"/>
      <c r="R1" s="13"/>
    </row>
    <row r="2" spans="1:18" ht="15" x14ac:dyDescent="0.2">
      <c r="A2" s="39" t="str">
        <f>Pocetna!$B$10</f>
        <v>dječaci do 12 god.</v>
      </c>
      <c r="B2" s="39"/>
      <c r="C2" s="39"/>
      <c r="D2" s="39"/>
      <c r="E2" s="39"/>
      <c r="F2" s="13"/>
      <c r="G2" s="13"/>
      <c r="H2" s="272"/>
      <c r="I2" s="15"/>
      <c r="J2" s="15"/>
      <c r="K2" s="15"/>
      <c r="M2" s="15"/>
      <c r="N2" s="15"/>
      <c r="O2" s="13"/>
      <c r="P2" s="13"/>
      <c r="Q2" s="13"/>
      <c r="R2" s="16"/>
    </row>
    <row r="3" spans="1:18" ht="13.5" customHeight="1" x14ac:dyDescent="0.2">
      <c r="A3" s="39"/>
      <c r="B3" s="39"/>
      <c r="C3" s="39"/>
      <c r="D3" s="73" t="s">
        <v>170</v>
      </c>
      <c r="E3" s="39"/>
      <c r="F3" s="13"/>
      <c r="G3" s="13"/>
      <c r="H3" s="13"/>
      <c r="I3" s="15"/>
      <c r="J3" s="15"/>
      <c r="K3" s="15"/>
      <c r="M3" s="15"/>
      <c r="N3" s="15"/>
      <c r="O3" s="13"/>
      <c r="P3" s="13"/>
      <c r="Q3" s="13"/>
      <c r="R3" s="16"/>
    </row>
    <row r="4" spans="1:18" ht="13.5" customHeight="1" x14ac:dyDescent="0.2">
      <c r="A4" s="17"/>
      <c r="B4" s="17"/>
      <c r="C4" s="17"/>
      <c r="E4" s="17"/>
      <c r="F4" s="17"/>
      <c r="G4" s="41"/>
      <c r="H4" s="41" t="str">
        <f>Pocetna!$F$11</f>
        <v>Vrhovni sudac</v>
      </c>
      <c r="I4" s="17"/>
      <c r="J4" s="17"/>
      <c r="K4" s="17"/>
      <c r="L4" s="15"/>
      <c r="M4" s="15"/>
      <c r="N4" s="15"/>
      <c r="O4" s="15"/>
      <c r="P4" s="15"/>
      <c r="Q4" s="15"/>
      <c r="R4" s="18"/>
    </row>
    <row r="5" spans="1:18" ht="13.5" customHeight="1" thickBot="1" x14ac:dyDescent="0.25">
      <c r="A5" s="40" t="str">
        <f>Pocetna!$B$11</f>
        <v>Datum turnira</v>
      </c>
      <c r="B5" s="40"/>
      <c r="C5" s="40" t="str">
        <f>Pocetna!$D$11</f>
        <v>Organizator</v>
      </c>
      <c r="D5" s="40"/>
      <c r="E5" s="40" t="str">
        <f>Pocetna!$E$11</f>
        <v>Mjesto</v>
      </c>
      <c r="F5" s="40"/>
      <c r="G5" s="37"/>
      <c r="H5" s="37" t="str">
        <f>Pocetna!$F$12</f>
        <v>Mladen Šančić</v>
      </c>
      <c r="I5" s="17"/>
      <c r="J5" s="17"/>
      <c r="K5" s="17"/>
      <c r="L5" s="15"/>
      <c r="M5" s="15"/>
      <c r="N5" s="15"/>
      <c r="O5" s="15"/>
      <c r="P5" s="15"/>
      <c r="Q5" s="15"/>
      <c r="R5" s="18"/>
    </row>
    <row r="6" spans="1:18" ht="13.5" customHeight="1" x14ac:dyDescent="0.2">
      <c r="A6" s="42" t="str">
        <f>Pocetna!$B$12</f>
        <v>(22.)24.-26.04.2016.</v>
      </c>
      <c r="B6" s="42"/>
      <c r="C6" s="42" t="str">
        <f>Pocetna!$D$12</f>
        <v>TK Samobor1890</v>
      </c>
      <c r="D6" s="42"/>
      <c r="E6" s="42" t="str">
        <f>Pocetna!$E$12</f>
        <v>Samobor</v>
      </c>
      <c r="F6" s="42"/>
      <c r="G6" s="74" t="s">
        <v>20</v>
      </c>
      <c r="H6" s="72"/>
      <c r="I6" s="17"/>
      <c r="J6" s="17"/>
      <c r="K6" s="17"/>
      <c r="L6" s="15"/>
      <c r="M6" s="15"/>
      <c r="N6" s="15"/>
      <c r="O6" s="15"/>
      <c r="P6" s="15"/>
      <c r="Q6" s="15"/>
      <c r="R6" s="18"/>
    </row>
    <row r="7" spans="1:18" ht="13.5" customHeight="1" x14ac:dyDescent="0.2">
      <c r="A7" s="40" t="str">
        <f>Pocetna!$C$11</f>
        <v>ID turnira</v>
      </c>
      <c r="B7" s="40"/>
      <c r="C7" s="40" t="str">
        <f>Pocetna!$B$15</f>
        <v>Rang turnira</v>
      </c>
      <c r="D7" s="40"/>
      <c r="E7" s="40"/>
      <c r="F7" s="76"/>
      <c r="G7" s="77"/>
      <c r="H7" s="78"/>
      <c r="I7" s="17"/>
      <c r="J7" s="17"/>
      <c r="K7" s="17"/>
      <c r="L7" s="15"/>
      <c r="M7" s="15"/>
      <c r="N7" s="15"/>
      <c r="O7" s="15"/>
      <c r="P7" s="15"/>
      <c r="Q7" s="15"/>
      <c r="R7" s="18"/>
    </row>
    <row r="8" spans="1:18" ht="13.5" customHeight="1" thickBot="1" x14ac:dyDescent="0.25">
      <c r="A8" s="42" t="str">
        <f>Pocetna!$C$12</f>
        <v>R12_20160422_SAM</v>
      </c>
      <c r="B8" s="38"/>
      <c r="C8" s="42" t="str">
        <f>Pocetna!$B$16</f>
        <v>4. rang</v>
      </c>
      <c r="D8" s="19"/>
      <c r="E8" s="19"/>
      <c r="F8" s="120" t="str">
        <f>IF($G$11&gt;0,"Godišta su "&amp;IF(Pocetna!$C$10="djevojčice i dječaci do 12 god.",IF(MAX($G$11:$H$210)&lt;=12,"OK","s GREŠKOM"),IF(Pocetna!$C$10="djevojčice i dječaci do 14 god.",IF(MAX($G$11:$H$210)&lt;=14,"OK","s GREŠKOM"),IF(Pocetna!$C$10="juniorke i juniori do 16 god.",IF(AND(MAX($G$11:$H$210)&lt;=16,MIN($G$11:$H$210)&gt;=12),"OK","s GREŠKOM"),IF(Pocetna!$C$10="juniorke i juniori do 18 god.",IF(AND(MAX($G$11:$H$210)&lt;=18,MIN($G$11:$H$210)&gt;=13),"OK","s GREŠKOM"),IF(Pocetna!$C$10="Seniorke i Seniori",IF(MIN($G$11:$H$210)&gt;=14,"OK","s GREŠKOM"),"????"))))),"Provjera godišta")</f>
        <v>Godišta su OK</v>
      </c>
      <c r="G8" s="77"/>
      <c r="H8" s="78"/>
      <c r="I8" s="17"/>
      <c r="J8" s="17"/>
      <c r="K8" s="17"/>
      <c r="L8" s="15"/>
      <c r="M8" s="15"/>
      <c r="N8" s="15"/>
      <c r="O8" s="15"/>
      <c r="P8" s="15"/>
      <c r="Q8" s="15"/>
      <c r="R8" s="18"/>
    </row>
    <row r="9" spans="1:18" ht="3" hidden="1" customHeight="1" thickBot="1" x14ac:dyDescent="0.25">
      <c r="A9" s="42"/>
      <c r="B9" s="38"/>
      <c r="C9" s="42"/>
      <c r="D9" s="19"/>
      <c r="E9" s="19"/>
      <c r="G9" s="79"/>
      <c r="H9" s="80"/>
    </row>
    <row r="10" spans="1:18" ht="30" customHeight="1" x14ac:dyDescent="0.2">
      <c r="A10" s="261" t="s">
        <v>61</v>
      </c>
      <c r="B10" s="75" t="s">
        <v>55</v>
      </c>
      <c r="C10" s="75" t="s">
        <v>56</v>
      </c>
      <c r="D10" s="75" t="s">
        <v>1</v>
      </c>
      <c r="E10" s="75" t="s">
        <v>76</v>
      </c>
      <c r="F10" s="75" t="s">
        <v>53</v>
      </c>
      <c r="G10" s="75" t="s">
        <v>59</v>
      </c>
      <c r="H10" s="262" t="s">
        <v>60</v>
      </c>
    </row>
    <row r="11" spans="1:18" ht="20.25" customHeight="1" x14ac:dyDescent="0.2">
      <c r="A11" s="81">
        <v>1</v>
      </c>
      <c r="B11" s="476" t="s">
        <v>351</v>
      </c>
      <c r="C11" s="476" t="s">
        <v>352</v>
      </c>
      <c r="D11" s="477" t="s">
        <v>316</v>
      </c>
      <c r="E11" s="477">
        <v>9</v>
      </c>
      <c r="F11" s="471">
        <v>2004</v>
      </c>
      <c r="G11" s="471">
        <v>12</v>
      </c>
      <c r="H11" s="472"/>
    </row>
    <row r="12" spans="1:18" ht="20.25" customHeight="1" x14ac:dyDescent="0.2">
      <c r="A12" s="82">
        <v>2</v>
      </c>
      <c r="B12" s="476" t="s">
        <v>353</v>
      </c>
      <c r="C12" s="476" t="s">
        <v>354</v>
      </c>
      <c r="D12" s="477" t="s">
        <v>94</v>
      </c>
      <c r="E12" s="539">
        <v>13</v>
      </c>
      <c r="F12" s="471">
        <v>2004</v>
      </c>
      <c r="G12" s="471">
        <v>12</v>
      </c>
      <c r="H12" s="472"/>
    </row>
    <row r="13" spans="1:18" ht="20.25" customHeight="1" x14ac:dyDescent="0.2">
      <c r="A13" s="82">
        <v>3</v>
      </c>
      <c r="B13" s="476" t="s">
        <v>355</v>
      </c>
      <c r="C13" s="476" t="s">
        <v>356</v>
      </c>
      <c r="D13" s="477" t="s">
        <v>316</v>
      </c>
      <c r="E13" s="539">
        <v>17</v>
      </c>
      <c r="F13" s="471">
        <v>2004</v>
      </c>
      <c r="G13" s="471">
        <v>12</v>
      </c>
      <c r="H13" s="472"/>
    </row>
    <row r="14" spans="1:18" ht="20.25" customHeight="1" x14ac:dyDescent="0.2">
      <c r="A14" s="82">
        <v>4</v>
      </c>
      <c r="B14" s="476" t="s">
        <v>357</v>
      </c>
      <c r="C14" s="476" t="s">
        <v>358</v>
      </c>
      <c r="D14" s="477" t="s">
        <v>89</v>
      </c>
      <c r="E14" s="537">
        <v>18</v>
      </c>
      <c r="F14" s="471">
        <v>2004</v>
      </c>
      <c r="G14" s="471">
        <v>12</v>
      </c>
      <c r="H14" s="472"/>
    </row>
    <row r="15" spans="1:18" ht="20.25" customHeight="1" x14ac:dyDescent="0.2">
      <c r="A15" s="82">
        <v>5</v>
      </c>
      <c r="B15" s="476" t="s">
        <v>359</v>
      </c>
      <c r="C15" s="470" t="s">
        <v>360</v>
      </c>
      <c r="D15" s="539" t="s">
        <v>316</v>
      </c>
      <c r="E15" s="539">
        <v>30</v>
      </c>
      <c r="F15" s="471">
        <v>2004</v>
      </c>
      <c r="G15" s="471">
        <v>12</v>
      </c>
      <c r="H15" s="472"/>
    </row>
    <row r="16" spans="1:18" ht="20.25" customHeight="1" x14ac:dyDescent="0.2">
      <c r="A16" s="82">
        <v>6</v>
      </c>
      <c r="B16" s="476" t="s">
        <v>361</v>
      </c>
      <c r="C16" s="470" t="s">
        <v>362</v>
      </c>
      <c r="D16" s="539" t="s">
        <v>97</v>
      </c>
      <c r="E16" s="539">
        <v>36</v>
      </c>
      <c r="F16" s="471">
        <v>2005</v>
      </c>
      <c r="G16" s="471">
        <v>11</v>
      </c>
      <c r="H16" s="472"/>
    </row>
    <row r="17" spans="1:8" ht="20.25" customHeight="1" x14ac:dyDescent="0.2">
      <c r="A17" s="82">
        <v>7</v>
      </c>
      <c r="B17" s="476" t="s">
        <v>363</v>
      </c>
      <c r="C17" s="470" t="s">
        <v>364</v>
      </c>
      <c r="D17" s="539" t="s">
        <v>91</v>
      </c>
      <c r="E17" s="539">
        <v>41</v>
      </c>
      <c r="F17" s="471">
        <v>2004</v>
      </c>
      <c r="G17" s="471">
        <v>12</v>
      </c>
      <c r="H17" s="472"/>
    </row>
    <row r="18" spans="1:8" ht="20.25" customHeight="1" x14ac:dyDescent="0.2">
      <c r="A18" s="82">
        <v>8</v>
      </c>
      <c r="B18" s="476" t="s">
        <v>365</v>
      </c>
      <c r="C18" s="470" t="s">
        <v>366</v>
      </c>
      <c r="D18" s="539" t="s">
        <v>91</v>
      </c>
      <c r="E18" s="539">
        <v>42</v>
      </c>
      <c r="F18" s="471">
        <v>2006</v>
      </c>
      <c r="G18" s="471">
        <v>10</v>
      </c>
      <c r="H18" s="472"/>
    </row>
    <row r="19" spans="1:8" ht="20.25" customHeight="1" x14ac:dyDescent="0.2">
      <c r="A19" s="82">
        <v>9</v>
      </c>
      <c r="B19" s="476" t="s">
        <v>367</v>
      </c>
      <c r="C19" s="470" t="s">
        <v>368</v>
      </c>
      <c r="D19" s="539" t="s">
        <v>322</v>
      </c>
      <c r="E19" s="539">
        <v>44</v>
      </c>
      <c r="F19" s="471">
        <v>2004</v>
      </c>
      <c r="G19" s="471">
        <v>12</v>
      </c>
      <c r="H19" s="472"/>
    </row>
    <row r="20" spans="1:8" ht="20.25" customHeight="1" x14ac:dyDescent="0.2">
      <c r="A20" s="82">
        <v>10</v>
      </c>
      <c r="B20" s="476" t="s">
        <v>369</v>
      </c>
      <c r="C20" s="470" t="s">
        <v>370</v>
      </c>
      <c r="D20" s="539" t="s">
        <v>87</v>
      </c>
      <c r="E20" s="477">
        <v>46</v>
      </c>
      <c r="F20" s="471">
        <v>2004</v>
      </c>
      <c r="G20" s="471">
        <v>12</v>
      </c>
      <c r="H20" s="472"/>
    </row>
    <row r="21" spans="1:8" ht="20.25" customHeight="1" x14ac:dyDescent="0.2">
      <c r="A21" s="82">
        <v>11</v>
      </c>
      <c r="B21" s="476" t="s">
        <v>371</v>
      </c>
      <c r="C21" s="470" t="s">
        <v>372</v>
      </c>
      <c r="D21" s="539" t="s">
        <v>92</v>
      </c>
      <c r="E21" s="539">
        <v>49</v>
      </c>
      <c r="F21" s="471">
        <v>2006</v>
      </c>
      <c r="G21" s="471">
        <v>10</v>
      </c>
      <c r="H21" s="472"/>
    </row>
    <row r="22" spans="1:8" ht="20.25" customHeight="1" x14ac:dyDescent="0.2">
      <c r="A22" s="82">
        <v>12</v>
      </c>
      <c r="B22" s="476" t="s">
        <v>373</v>
      </c>
      <c r="C22" s="470" t="s">
        <v>374</v>
      </c>
      <c r="D22" s="539" t="s">
        <v>345</v>
      </c>
      <c r="E22" s="539">
        <v>51</v>
      </c>
      <c r="F22" s="471">
        <v>2004</v>
      </c>
      <c r="G22" s="471">
        <v>12</v>
      </c>
      <c r="H22" s="472"/>
    </row>
    <row r="23" spans="1:8" ht="20.25" customHeight="1" x14ac:dyDescent="0.2">
      <c r="A23" s="82">
        <v>13</v>
      </c>
      <c r="B23" s="476" t="s">
        <v>375</v>
      </c>
      <c r="C23" s="470" t="s">
        <v>356</v>
      </c>
      <c r="D23" s="539" t="s">
        <v>92</v>
      </c>
      <c r="E23" s="539">
        <v>57</v>
      </c>
      <c r="F23" s="471">
        <v>2005</v>
      </c>
      <c r="G23" s="471">
        <v>11</v>
      </c>
      <c r="H23" s="472"/>
    </row>
    <row r="24" spans="1:8" ht="20.25" customHeight="1" x14ac:dyDescent="0.2">
      <c r="A24" s="82">
        <v>14</v>
      </c>
      <c r="B24" s="476" t="s">
        <v>376</v>
      </c>
      <c r="C24" s="470" t="s">
        <v>377</v>
      </c>
      <c r="D24" s="539" t="s">
        <v>322</v>
      </c>
      <c r="E24" s="539">
        <v>62</v>
      </c>
      <c r="F24" s="471">
        <v>2005</v>
      </c>
      <c r="G24" s="471">
        <v>11</v>
      </c>
      <c r="H24" s="472"/>
    </row>
    <row r="25" spans="1:8" ht="20.25" customHeight="1" x14ac:dyDescent="0.2">
      <c r="A25" s="82">
        <v>15</v>
      </c>
      <c r="B25" s="540" t="s">
        <v>378</v>
      </c>
      <c r="C25" s="470" t="s">
        <v>379</v>
      </c>
      <c r="D25" s="539" t="s">
        <v>326</v>
      </c>
      <c r="E25" s="539">
        <v>63</v>
      </c>
      <c r="F25" s="471">
        <v>2004</v>
      </c>
      <c r="G25" s="471">
        <v>12</v>
      </c>
      <c r="H25" s="472"/>
    </row>
    <row r="26" spans="1:8" ht="20.25" customHeight="1" x14ac:dyDescent="0.2">
      <c r="A26" s="82">
        <v>16</v>
      </c>
      <c r="B26" s="540" t="s">
        <v>380</v>
      </c>
      <c r="C26" s="470" t="s">
        <v>381</v>
      </c>
      <c r="D26" s="539" t="s">
        <v>345</v>
      </c>
      <c r="E26" s="539">
        <v>66</v>
      </c>
      <c r="F26" s="471">
        <v>2005</v>
      </c>
      <c r="G26" s="471">
        <v>11</v>
      </c>
      <c r="H26" s="472"/>
    </row>
    <row r="27" spans="1:8" ht="20.25" customHeight="1" x14ac:dyDescent="0.2">
      <c r="A27" s="82">
        <v>17</v>
      </c>
      <c r="B27" s="470" t="s">
        <v>382</v>
      </c>
      <c r="C27" s="470" t="s">
        <v>383</v>
      </c>
      <c r="D27" s="539" t="s">
        <v>322</v>
      </c>
      <c r="E27" s="539">
        <v>67</v>
      </c>
      <c r="F27" s="471">
        <v>2005</v>
      </c>
      <c r="G27" s="471">
        <v>11</v>
      </c>
      <c r="H27" s="472"/>
    </row>
    <row r="28" spans="1:8" ht="20.25" customHeight="1" x14ac:dyDescent="0.2">
      <c r="A28" s="82">
        <v>18</v>
      </c>
      <c r="B28" s="470" t="s">
        <v>384</v>
      </c>
      <c r="C28" s="470" t="s">
        <v>385</v>
      </c>
      <c r="D28" s="539" t="s">
        <v>89</v>
      </c>
      <c r="E28" s="539">
        <v>69</v>
      </c>
      <c r="F28" s="471">
        <v>2004</v>
      </c>
      <c r="G28" s="471">
        <v>12</v>
      </c>
      <c r="H28" s="472"/>
    </row>
    <row r="29" spans="1:8" ht="20.25" customHeight="1" x14ac:dyDescent="0.2">
      <c r="A29" s="82">
        <v>19</v>
      </c>
      <c r="B29" s="470" t="s">
        <v>386</v>
      </c>
      <c r="C29" s="470" t="s">
        <v>387</v>
      </c>
      <c r="D29" s="539" t="s">
        <v>85</v>
      </c>
      <c r="E29" s="539">
        <v>72</v>
      </c>
      <c r="F29" s="471">
        <v>2006</v>
      </c>
      <c r="G29" s="471">
        <v>10</v>
      </c>
      <c r="H29" s="472"/>
    </row>
    <row r="30" spans="1:8" ht="20.25" customHeight="1" x14ac:dyDescent="0.2">
      <c r="A30" s="82">
        <v>20</v>
      </c>
      <c r="B30" s="470" t="s">
        <v>388</v>
      </c>
      <c r="C30" s="470" t="s">
        <v>389</v>
      </c>
      <c r="D30" s="539" t="s">
        <v>91</v>
      </c>
      <c r="E30" s="539">
        <v>75</v>
      </c>
      <c r="F30" s="471">
        <v>2006</v>
      </c>
      <c r="G30" s="471">
        <v>10</v>
      </c>
      <c r="H30" s="472"/>
    </row>
    <row r="31" spans="1:8" ht="20.25" customHeight="1" x14ac:dyDescent="0.2">
      <c r="A31" s="82">
        <v>21</v>
      </c>
      <c r="B31" s="470" t="s">
        <v>390</v>
      </c>
      <c r="C31" s="470" t="s">
        <v>391</v>
      </c>
      <c r="D31" s="539" t="s">
        <v>348</v>
      </c>
      <c r="E31" s="539">
        <v>85</v>
      </c>
      <c r="F31" s="471">
        <v>2005</v>
      </c>
      <c r="G31" s="471">
        <v>11</v>
      </c>
      <c r="H31" s="472"/>
    </row>
    <row r="32" spans="1:8" ht="20.25" customHeight="1" x14ac:dyDescent="0.2">
      <c r="A32" s="82">
        <v>22</v>
      </c>
      <c r="B32" s="470" t="s">
        <v>392</v>
      </c>
      <c r="C32" s="470" t="s">
        <v>393</v>
      </c>
      <c r="D32" s="539" t="s">
        <v>345</v>
      </c>
      <c r="E32" s="539">
        <v>85</v>
      </c>
      <c r="F32" s="471">
        <v>2006</v>
      </c>
      <c r="G32" s="471">
        <v>10</v>
      </c>
      <c r="H32" s="472"/>
    </row>
    <row r="33" spans="1:8" ht="20.25" customHeight="1" x14ac:dyDescent="0.2">
      <c r="A33" s="82">
        <v>23</v>
      </c>
      <c r="B33" s="470" t="s">
        <v>394</v>
      </c>
      <c r="C33" s="470" t="s">
        <v>395</v>
      </c>
      <c r="D33" s="539" t="s">
        <v>349</v>
      </c>
      <c r="E33" s="539">
        <v>94</v>
      </c>
      <c r="F33" s="471">
        <v>2007</v>
      </c>
      <c r="G33" s="471">
        <v>9</v>
      </c>
      <c r="H33" s="472"/>
    </row>
    <row r="34" spans="1:8" ht="20.25" customHeight="1" x14ac:dyDescent="0.2">
      <c r="A34" s="82">
        <v>24</v>
      </c>
      <c r="B34" s="470" t="s">
        <v>396</v>
      </c>
      <c r="C34" s="470" t="s">
        <v>397</v>
      </c>
      <c r="D34" s="539" t="s">
        <v>88</v>
      </c>
      <c r="E34" s="539">
        <v>99</v>
      </c>
      <c r="F34" s="471">
        <v>2005</v>
      </c>
      <c r="G34" s="471">
        <v>11</v>
      </c>
      <c r="H34" s="472"/>
    </row>
    <row r="35" spans="1:8" ht="20.25" customHeight="1" x14ac:dyDescent="0.2">
      <c r="A35" s="82">
        <v>25</v>
      </c>
      <c r="B35" s="470" t="s">
        <v>437</v>
      </c>
      <c r="C35" s="470" t="s">
        <v>438</v>
      </c>
      <c r="D35" s="539" t="s">
        <v>350</v>
      </c>
      <c r="E35" s="539">
        <v>105</v>
      </c>
      <c r="F35" s="471">
        <v>2005</v>
      </c>
      <c r="G35" s="471">
        <v>11</v>
      </c>
      <c r="H35" s="472"/>
    </row>
    <row r="36" spans="1:8" ht="20.25" customHeight="1" x14ac:dyDescent="0.2">
      <c r="A36" s="82">
        <v>26</v>
      </c>
      <c r="B36" s="470" t="s">
        <v>398</v>
      </c>
      <c r="C36" s="470" t="s">
        <v>399</v>
      </c>
      <c r="D36" s="539" t="s">
        <v>90</v>
      </c>
      <c r="E36" s="539">
        <v>105</v>
      </c>
      <c r="F36" s="471">
        <v>2005</v>
      </c>
      <c r="G36" s="471">
        <v>11</v>
      </c>
      <c r="H36" s="472"/>
    </row>
    <row r="37" spans="1:8" ht="20.25" customHeight="1" x14ac:dyDescent="0.2">
      <c r="A37" s="82">
        <v>27</v>
      </c>
      <c r="B37" s="470" t="s">
        <v>400</v>
      </c>
      <c r="C37" s="470" t="s">
        <v>356</v>
      </c>
      <c r="D37" s="539" t="s">
        <v>322</v>
      </c>
      <c r="E37" s="539">
        <v>105</v>
      </c>
      <c r="F37" s="471">
        <v>2005</v>
      </c>
      <c r="G37" s="471">
        <v>11</v>
      </c>
      <c r="H37" s="472"/>
    </row>
    <row r="38" spans="1:8" ht="20.25" customHeight="1" x14ac:dyDescent="0.2">
      <c r="A38" s="82">
        <v>28</v>
      </c>
      <c r="B38" s="470" t="s">
        <v>401</v>
      </c>
      <c r="C38" s="470" t="s">
        <v>402</v>
      </c>
      <c r="D38" s="539" t="s">
        <v>316</v>
      </c>
      <c r="E38" s="539">
        <v>105</v>
      </c>
      <c r="F38" s="471">
        <v>2005</v>
      </c>
      <c r="G38" s="471">
        <v>11</v>
      </c>
      <c r="H38" s="472"/>
    </row>
    <row r="39" spans="1:8" ht="20.25" customHeight="1" x14ac:dyDescent="0.2">
      <c r="A39" s="82">
        <v>29</v>
      </c>
      <c r="B39" s="470" t="s">
        <v>403</v>
      </c>
      <c r="C39" s="470" t="s">
        <v>404</v>
      </c>
      <c r="D39" s="539" t="s">
        <v>322</v>
      </c>
      <c r="E39" s="539"/>
      <c r="F39" s="471">
        <v>2007</v>
      </c>
      <c r="G39" s="471">
        <v>9</v>
      </c>
      <c r="H39" s="472"/>
    </row>
    <row r="40" spans="1:8" ht="20.25" customHeight="1" x14ac:dyDescent="0.2">
      <c r="A40" s="82">
        <v>30</v>
      </c>
      <c r="B40" s="470" t="s">
        <v>436</v>
      </c>
      <c r="C40" s="470" t="s">
        <v>356</v>
      </c>
      <c r="D40" s="539" t="s">
        <v>350</v>
      </c>
      <c r="E40" s="539"/>
      <c r="F40" s="471">
        <v>2005</v>
      </c>
      <c r="G40" s="471">
        <v>11</v>
      </c>
      <c r="H40" s="472"/>
    </row>
    <row r="41" spans="1:8" ht="20.25" customHeight="1" x14ac:dyDescent="0.2">
      <c r="A41" s="82">
        <v>31</v>
      </c>
      <c r="B41" s="470" t="s">
        <v>406</v>
      </c>
      <c r="C41" s="470" t="s">
        <v>407</v>
      </c>
      <c r="D41" s="539" t="s">
        <v>349</v>
      </c>
      <c r="E41" s="539"/>
      <c r="F41" s="471">
        <v>2006</v>
      </c>
      <c r="G41" s="471">
        <v>10</v>
      </c>
      <c r="H41" s="472"/>
    </row>
    <row r="42" spans="1:8" ht="20.25" customHeight="1" x14ac:dyDescent="0.2">
      <c r="A42" s="82">
        <v>32</v>
      </c>
      <c r="B42" s="478" t="s">
        <v>485</v>
      </c>
      <c r="C42" s="470" t="s">
        <v>413</v>
      </c>
      <c r="D42" s="539" t="s">
        <v>90</v>
      </c>
      <c r="E42" s="539"/>
      <c r="F42" s="471">
        <v>2005</v>
      </c>
      <c r="G42" s="471">
        <v>11</v>
      </c>
      <c r="H42" s="472"/>
    </row>
    <row r="43" spans="1:8" ht="20.25" customHeight="1" x14ac:dyDescent="0.2">
      <c r="A43" s="82">
        <v>33</v>
      </c>
      <c r="B43" s="470" t="s">
        <v>363</v>
      </c>
      <c r="C43" s="470" t="s">
        <v>408</v>
      </c>
      <c r="D43" s="539" t="s">
        <v>94</v>
      </c>
      <c r="E43" s="539"/>
      <c r="F43" s="471">
        <v>2005</v>
      </c>
      <c r="G43" s="471">
        <v>11</v>
      </c>
      <c r="H43" s="472" t="s">
        <v>80</v>
      </c>
    </row>
    <row r="44" spans="1:8" ht="20.25" customHeight="1" x14ac:dyDescent="0.2">
      <c r="A44" s="82">
        <v>34</v>
      </c>
      <c r="B44" s="470" t="s">
        <v>409</v>
      </c>
      <c r="C44" s="470" t="s">
        <v>410</v>
      </c>
      <c r="D44" s="539" t="s">
        <v>322</v>
      </c>
      <c r="E44" s="539"/>
      <c r="F44" s="471">
        <v>2005</v>
      </c>
      <c r="G44" s="471">
        <v>11</v>
      </c>
      <c r="H44" s="472"/>
    </row>
    <row r="45" spans="1:8" ht="20.25" customHeight="1" x14ac:dyDescent="0.2">
      <c r="A45" s="82">
        <v>35</v>
      </c>
      <c r="B45" s="470" t="s">
        <v>411</v>
      </c>
      <c r="C45" s="470" t="s">
        <v>74</v>
      </c>
      <c r="D45" s="539" t="s">
        <v>98</v>
      </c>
      <c r="E45" s="539"/>
      <c r="F45" s="471">
        <v>2005</v>
      </c>
      <c r="G45" s="471">
        <v>11</v>
      </c>
      <c r="H45" s="472"/>
    </row>
    <row r="46" spans="1:8" ht="20.25" customHeight="1" x14ac:dyDescent="0.2">
      <c r="A46" s="82">
        <v>36</v>
      </c>
      <c r="B46" s="470" t="s">
        <v>412</v>
      </c>
      <c r="C46" s="470" t="s">
        <v>413</v>
      </c>
      <c r="D46" s="539" t="s">
        <v>84</v>
      </c>
      <c r="E46" s="539"/>
      <c r="F46" s="471">
        <v>2005</v>
      </c>
      <c r="G46" s="471">
        <v>11</v>
      </c>
      <c r="H46" s="472"/>
    </row>
    <row r="47" spans="1:8" ht="20.25" customHeight="1" x14ac:dyDescent="0.2">
      <c r="A47" s="82">
        <v>37</v>
      </c>
      <c r="B47" s="470" t="s">
        <v>414</v>
      </c>
      <c r="C47" s="470" t="s">
        <v>95</v>
      </c>
      <c r="D47" s="539" t="s">
        <v>87</v>
      </c>
      <c r="E47" s="539"/>
      <c r="F47" s="471">
        <v>2005</v>
      </c>
      <c r="G47" s="471">
        <v>11</v>
      </c>
      <c r="H47" s="472"/>
    </row>
    <row r="48" spans="1:8" ht="20.25" customHeight="1" x14ac:dyDescent="0.2">
      <c r="A48" s="82">
        <v>38</v>
      </c>
      <c r="B48" s="470" t="s">
        <v>415</v>
      </c>
      <c r="C48" s="470" t="s">
        <v>395</v>
      </c>
      <c r="D48" s="539" t="s">
        <v>98</v>
      </c>
      <c r="E48" s="539"/>
      <c r="F48" s="471">
        <v>2005</v>
      </c>
      <c r="G48" s="471">
        <v>11</v>
      </c>
      <c r="H48" s="472"/>
    </row>
    <row r="49" spans="1:8" ht="20.25" customHeight="1" x14ac:dyDescent="0.2">
      <c r="A49" s="82">
        <v>39</v>
      </c>
      <c r="B49" s="470" t="s">
        <v>416</v>
      </c>
      <c r="C49" s="470" t="s">
        <v>354</v>
      </c>
      <c r="D49" s="539" t="s">
        <v>322</v>
      </c>
      <c r="E49" s="539"/>
      <c r="F49" s="471">
        <v>2006</v>
      </c>
      <c r="G49" s="471">
        <v>10</v>
      </c>
      <c r="H49" s="472"/>
    </row>
    <row r="50" spans="1:8" ht="20.25" customHeight="1" x14ac:dyDescent="0.2">
      <c r="A50" s="82">
        <v>40</v>
      </c>
      <c r="B50" s="470" t="s">
        <v>378</v>
      </c>
      <c r="C50" s="470" t="s">
        <v>54</v>
      </c>
      <c r="D50" s="539" t="s">
        <v>92</v>
      </c>
      <c r="E50" s="539"/>
      <c r="F50" s="471">
        <v>2006</v>
      </c>
      <c r="G50" s="471">
        <v>10</v>
      </c>
      <c r="H50" s="472"/>
    </row>
    <row r="51" spans="1:8" ht="20.25" customHeight="1" x14ac:dyDescent="0.2">
      <c r="A51" s="82">
        <v>41</v>
      </c>
      <c r="B51" s="470" t="s">
        <v>417</v>
      </c>
      <c r="C51" s="470" t="s">
        <v>354</v>
      </c>
      <c r="D51" s="539" t="s">
        <v>322</v>
      </c>
      <c r="E51" s="539"/>
      <c r="F51" s="471">
        <v>2006</v>
      </c>
      <c r="G51" s="471">
        <v>10</v>
      </c>
      <c r="H51" s="472"/>
    </row>
    <row r="52" spans="1:8" ht="20.25" customHeight="1" x14ac:dyDescent="0.2">
      <c r="A52" s="82">
        <v>42</v>
      </c>
      <c r="B52" s="470" t="s">
        <v>418</v>
      </c>
      <c r="C52" s="470" t="s">
        <v>419</v>
      </c>
      <c r="D52" s="539" t="s">
        <v>86</v>
      </c>
      <c r="E52" s="539"/>
      <c r="F52" s="471">
        <v>2005</v>
      </c>
      <c r="G52" s="471">
        <v>11</v>
      </c>
      <c r="H52" s="472"/>
    </row>
    <row r="53" spans="1:8" ht="20.25" customHeight="1" x14ac:dyDescent="0.2">
      <c r="A53" s="82">
        <v>43</v>
      </c>
      <c r="B53" s="470" t="s">
        <v>435</v>
      </c>
      <c r="C53" s="470" t="s">
        <v>433</v>
      </c>
      <c r="D53" s="539" t="s">
        <v>96</v>
      </c>
      <c r="E53" s="539"/>
      <c r="F53" s="471">
        <v>2004</v>
      </c>
      <c r="G53" s="471">
        <v>12</v>
      </c>
      <c r="H53" s="472"/>
    </row>
    <row r="54" spans="1:8" ht="20.25" customHeight="1" x14ac:dyDescent="0.2">
      <c r="A54" s="82">
        <v>44</v>
      </c>
      <c r="B54" s="470" t="s">
        <v>420</v>
      </c>
      <c r="C54" s="470" t="s">
        <v>421</v>
      </c>
      <c r="D54" s="539" t="s">
        <v>322</v>
      </c>
      <c r="E54" s="539"/>
      <c r="F54" s="471">
        <v>2006</v>
      </c>
      <c r="G54" s="471">
        <v>10</v>
      </c>
      <c r="H54" s="472"/>
    </row>
    <row r="55" spans="1:8" ht="20.25" customHeight="1" x14ac:dyDescent="0.2">
      <c r="A55" s="82">
        <v>45</v>
      </c>
      <c r="B55" s="470" t="s">
        <v>422</v>
      </c>
      <c r="C55" s="470" t="s">
        <v>423</v>
      </c>
      <c r="D55" s="539" t="s">
        <v>342</v>
      </c>
      <c r="E55" s="539"/>
      <c r="F55" s="471">
        <v>2005</v>
      </c>
      <c r="G55" s="471">
        <v>11</v>
      </c>
      <c r="H55" s="472"/>
    </row>
    <row r="56" spans="1:8" ht="20.25" customHeight="1" x14ac:dyDescent="0.2">
      <c r="A56" s="82">
        <v>46</v>
      </c>
      <c r="B56" s="470" t="s">
        <v>424</v>
      </c>
      <c r="C56" s="470" t="s">
        <v>434</v>
      </c>
      <c r="D56" s="539" t="s">
        <v>326</v>
      </c>
      <c r="E56" s="539"/>
      <c r="F56" s="471">
        <v>2006</v>
      </c>
      <c r="G56" s="471">
        <v>10</v>
      </c>
      <c r="H56" s="472"/>
    </row>
    <row r="57" spans="1:8" ht="20.25" customHeight="1" x14ac:dyDescent="0.2">
      <c r="A57" s="82">
        <v>47</v>
      </c>
      <c r="B57" s="470" t="s">
        <v>425</v>
      </c>
      <c r="C57" s="470" t="s">
        <v>405</v>
      </c>
      <c r="D57" s="539" t="s">
        <v>342</v>
      </c>
      <c r="E57" s="539"/>
      <c r="F57" s="471">
        <v>2005</v>
      </c>
      <c r="G57" s="471">
        <v>11</v>
      </c>
      <c r="H57" s="472"/>
    </row>
    <row r="58" spans="1:8" ht="20.25" customHeight="1" x14ac:dyDescent="0.2">
      <c r="A58" s="82">
        <v>48</v>
      </c>
      <c r="B58" s="470" t="s">
        <v>426</v>
      </c>
      <c r="C58" s="470" t="s">
        <v>427</v>
      </c>
      <c r="D58" s="539" t="s">
        <v>94</v>
      </c>
      <c r="E58" s="539"/>
      <c r="F58" s="471">
        <v>2005</v>
      </c>
      <c r="G58" s="471">
        <v>11</v>
      </c>
      <c r="H58" s="472" t="s">
        <v>439</v>
      </c>
    </row>
    <row r="59" spans="1:8" ht="20.25" customHeight="1" x14ac:dyDescent="0.2">
      <c r="A59" s="82">
        <v>49</v>
      </c>
      <c r="B59" s="470" t="s">
        <v>428</v>
      </c>
      <c r="C59" s="470" t="s">
        <v>429</v>
      </c>
      <c r="D59" s="539" t="s">
        <v>322</v>
      </c>
      <c r="E59" s="539"/>
      <c r="F59" s="471">
        <v>2004</v>
      </c>
      <c r="G59" s="471">
        <v>12</v>
      </c>
      <c r="H59" s="472" t="s">
        <v>80</v>
      </c>
    </row>
    <row r="60" spans="1:8" ht="20.25" customHeight="1" x14ac:dyDescent="0.2">
      <c r="A60" s="82">
        <v>50</v>
      </c>
      <c r="B60" s="470" t="s">
        <v>430</v>
      </c>
      <c r="C60" s="470" t="s">
        <v>362</v>
      </c>
      <c r="D60" s="539" t="s">
        <v>92</v>
      </c>
      <c r="E60" s="539"/>
      <c r="F60" s="471">
        <v>2007</v>
      </c>
      <c r="G60" s="471">
        <v>9</v>
      </c>
      <c r="H60" s="472"/>
    </row>
    <row r="61" spans="1:8" ht="20.25" customHeight="1" x14ac:dyDescent="0.2">
      <c r="A61" s="82">
        <v>51</v>
      </c>
      <c r="B61" s="470" t="s">
        <v>431</v>
      </c>
      <c r="C61" s="470" t="s">
        <v>395</v>
      </c>
      <c r="D61" s="539" t="s">
        <v>322</v>
      </c>
      <c r="E61" s="539"/>
      <c r="F61" s="471">
        <v>2006</v>
      </c>
      <c r="G61" s="471">
        <v>10</v>
      </c>
      <c r="H61" s="472"/>
    </row>
    <row r="62" spans="1:8" ht="20.25" customHeight="1" x14ac:dyDescent="0.2">
      <c r="A62" s="82">
        <v>52</v>
      </c>
      <c r="B62" s="470" t="s">
        <v>432</v>
      </c>
      <c r="C62" s="470" t="s">
        <v>352</v>
      </c>
      <c r="D62" s="539" t="s">
        <v>86</v>
      </c>
      <c r="E62" s="539"/>
      <c r="F62" s="471">
        <v>2006</v>
      </c>
      <c r="G62" s="471">
        <v>10</v>
      </c>
      <c r="H62" s="472"/>
    </row>
    <row r="63" spans="1:8" ht="20.25" customHeight="1" x14ac:dyDescent="0.2">
      <c r="A63" s="82">
        <v>53</v>
      </c>
      <c r="B63" s="470"/>
      <c r="C63" s="470"/>
      <c r="D63" s="539"/>
      <c r="E63" s="539"/>
      <c r="F63" s="471"/>
      <c r="G63" s="471"/>
      <c r="H63" s="472"/>
    </row>
    <row r="64" spans="1:8" ht="20.25" customHeight="1" x14ac:dyDescent="0.2">
      <c r="A64" s="82">
        <v>54</v>
      </c>
      <c r="B64" s="470"/>
      <c r="C64" s="470"/>
      <c r="D64" s="539"/>
      <c r="E64" s="539"/>
      <c r="F64" s="471"/>
      <c r="G64" s="471"/>
      <c r="H64" s="472"/>
    </row>
    <row r="65" spans="1:8" ht="20.25" customHeight="1" x14ac:dyDescent="0.2">
      <c r="A65" s="82">
        <v>55</v>
      </c>
      <c r="B65" s="470"/>
      <c r="C65" s="470"/>
      <c r="D65" s="539"/>
      <c r="E65" s="539"/>
      <c r="F65" s="471"/>
      <c r="G65" s="471"/>
      <c r="H65" s="472"/>
    </row>
    <row r="66" spans="1:8" ht="20.25" customHeight="1" x14ac:dyDescent="0.2">
      <c r="A66" s="82">
        <v>56</v>
      </c>
      <c r="B66" s="470"/>
      <c r="C66" s="470"/>
      <c r="D66" s="539"/>
      <c r="E66" s="539"/>
      <c r="F66" s="471"/>
      <c r="G66" s="471"/>
      <c r="H66" s="472"/>
    </row>
    <row r="67" spans="1:8" ht="20.25" customHeight="1" x14ac:dyDescent="0.2">
      <c r="A67" s="82">
        <v>57</v>
      </c>
      <c r="B67" s="470"/>
      <c r="C67" s="470"/>
      <c r="D67" s="538"/>
      <c r="E67" s="538"/>
      <c r="F67" s="471"/>
      <c r="G67" s="471"/>
      <c r="H67" s="472"/>
    </row>
    <row r="68" spans="1:8" ht="20.25" customHeight="1" x14ac:dyDescent="0.2">
      <c r="A68" s="82">
        <v>58</v>
      </c>
      <c r="B68" s="478"/>
      <c r="C68" s="470"/>
      <c r="D68" s="538"/>
      <c r="E68" s="538"/>
      <c r="F68" s="471"/>
      <c r="G68" s="471"/>
      <c r="H68" s="472"/>
    </row>
    <row r="69" spans="1:8" ht="20.25" customHeight="1" x14ac:dyDescent="0.2">
      <c r="A69" s="82">
        <v>59</v>
      </c>
      <c r="B69" s="470"/>
      <c r="C69" s="470"/>
      <c r="D69" s="538"/>
      <c r="E69" s="538"/>
      <c r="F69" s="471"/>
      <c r="G69" s="471"/>
      <c r="H69" s="472"/>
    </row>
    <row r="70" spans="1:8" ht="20.25" customHeight="1" x14ac:dyDescent="0.2">
      <c r="A70" s="82">
        <v>60</v>
      </c>
      <c r="B70" s="470"/>
      <c r="C70" s="470"/>
      <c r="D70" s="538"/>
      <c r="E70" s="538"/>
      <c r="F70" s="471"/>
      <c r="G70" s="471"/>
      <c r="H70" s="472"/>
    </row>
    <row r="71" spans="1:8" ht="20.25" customHeight="1" x14ac:dyDescent="0.2">
      <c r="A71" s="82">
        <v>61</v>
      </c>
      <c r="B71" s="470"/>
      <c r="C71" s="470"/>
      <c r="D71" s="536"/>
      <c r="E71" s="471"/>
      <c r="F71" s="471"/>
      <c r="G71" s="471"/>
      <c r="H71" s="472"/>
    </row>
    <row r="72" spans="1:8" ht="20.25" customHeight="1" x14ac:dyDescent="0.2">
      <c r="A72" s="82">
        <v>62</v>
      </c>
      <c r="B72" s="470"/>
      <c r="C72" s="470"/>
      <c r="D72" s="471"/>
      <c r="E72" s="471"/>
      <c r="F72" s="471"/>
      <c r="G72" s="471"/>
      <c r="H72" s="472"/>
    </row>
    <row r="73" spans="1:8" ht="20.25" customHeight="1" x14ac:dyDescent="0.2">
      <c r="A73" s="82">
        <v>63</v>
      </c>
      <c r="B73" s="470"/>
      <c r="C73" s="470"/>
      <c r="D73" s="471"/>
      <c r="E73" s="471"/>
      <c r="F73" s="471"/>
      <c r="G73" s="471"/>
      <c r="H73" s="472"/>
    </row>
    <row r="74" spans="1:8" ht="20.25" customHeight="1" x14ac:dyDescent="0.2">
      <c r="A74" s="82">
        <v>64</v>
      </c>
      <c r="B74" s="470"/>
      <c r="C74" s="470"/>
      <c r="D74" s="471"/>
      <c r="E74" s="471"/>
      <c r="F74" s="471"/>
      <c r="G74" s="471"/>
      <c r="H74" s="472"/>
    </row>
    <row r="75" spans="1:8" ht="20.25" customHeight="1" x14ac:dyDescent="0.2">
      <c r="A75" s="82">
        <v>65</v>
      </c>
      <c r="B75" s="470"/>
      <c r="C75" s="470"/>
      <c r="D75" s="471"/>
      <c r="E75" s="471"/>
      <c r="F75" s="471"/>
      <c r="G75" s="471"/>
      <c r="H75" s="472"/>
    </row>
    <row r="76" spans="1:8" ht="20.25" customHeight="1" x14ac:dyDescent="0.2">
      <c r="A76" s="82">
        <v>66</v>
      </c>
      <c r="B76" s="470"/>
      <c r="C76" s="470"/>
      <c r="D76" s="471"/>
      <c r="E76" s="471"/>
      <c r="F76" s="471"/>
      <c r="G76" s="471"/>
      <c r="H76" s="472"/>
    </row>
    <row r="77" spans="1:8" ht="20.25" customHeight="1" x14ac:dyDescent="0.2">
      <c r="A77" s="82">
        <v>67</v>
      </c>
      <c r="B77" s="470"/>
      <c r="C77" s="470"/>
      <c r="D77" s="471"/>
      <c r="E77" s="471"/>
      <c r="F77" s="471"/>
      <c r="G77" s="471"/>
      <c r="H77" s="472"/>
    </row>
    <row r="78" spans="1:8" ht="20.25" customHeight="1" x14ac:dyDescent="0.2">
      <c r="A78" s="82">
        <v>68</v>
      </c>
      <c r="B78" s="470"/>
      <c r="C78" s="470"/>
      <c r="D78" s="471"/>
      <c r="E78" s="471"/>
      <c r="F78" s="471"/>
      <c r="G78" s="471"/>
      <c r="H78" s="472"/>
    </row>
    <row r="79" spans="1:8" ht="20.25" customHeight="1" x14ac:dyDescent="0.2">
      <c r="A79" s="82">
        <v>69</v>
      </c>
      <c r="B79" s="470"/>
      <c r="C79" s="470"/>
      <c r="D79" s="471"/>
      <c r="E79" s="471"/>
      <c r="F79" s="471"/>
      <c r="G79" s="471"/>
      <c r="H79" s="472"/>
    </row>
    <row r="80" spans="1:8" ht="20.25" customHeight="1" x14ac:dyDescent="0.2">
      <c r="A80" s="82">
        <v>70</v>
      </c>
      <c r="B80" s="470"/>
      <c r="C80" s="470"/>
      <c r="D80" s="471"/>
      <c r="E80" s="471"/>
      <c r="F80" s="471"/>
      <c r="G80" s="471"/>
      <c r="H80" s="472"/>
    </row>
    <row r="81" spans="1:8" ht="20.25" customHeight="1" x14ac:dyDescent="0.2">
      <c r="A81" s="82">
        <v>71</v>
      </c>
      <c r="B81" s="470"/>
      <c r="C81" s="470"/>
      <c r="D81" s="471"/>
      <c r="E81" s="471"/>
      <c r="F81" s="471"/>
      <c r="G81" s="471"/>
      <c r="H81" s="472"/>
    </row>
    <row r="82" spans="1:8" ht="20.25" customHeight="1" x14ac:dyDescent="0.2">
      <c r="A82" s="82">
        <v>72</v>
      </c>
      <c r="B82" s="470"/>
      <c r="C82" s="470"/>
      <c r="D82" s="471"/>
      <c r="E82" s="471"/>
      <c r="F82" s="471"/>
      <c r="G82" s="471"/>
      <c r="H82" s="472"/>
    </row>
    <row r="83" spans="1:8" ht="20.25" customHeight="1" x14ac:dyDescent="0.2">
      <c r="A83" s="82">
        <v>73</v>
      </c>
      <c r="B83" s="470"/>
      <c r="C83" s="470"/>
      <c r="D83" s="471"/>
      <c r="E83" s="471"/>
      <c r="F83" s="471"/>
      <c r="G83" s="471"/>
      <c r="H83" s="472"/>
    </row>
    <row r="84" spans="1:8" ht="20.25" customHeight="1" x14ac:dyDescent="0.2">
      <c r="A84" s="82">
        <v>74</v>
      </c>
      <c r="B84" s="470"/>
      <c r="C84" s="470"/>
      <c r="D84" s="471"/>
      <c r="E84" s="471"/>
      <c r="F84" s="471"/>
      <c r="G84" s="471"/>
      <c r="H84" s="472"/>
    </row>
    <row r="85" spans="1:8" ht="20.25" customHeight="1" x14ac:dyDescent="0.2">
      <c r="A85" s="82">
        <v>75</v>
      </c>
      <c r="B85" s="470"/>
      <c r="C85" s="470"/>
      <c r="D85" s="471"/>
      <c r="E85" s="471"/>
      <c r="F85" s="471"/>
      <c r="G85" s="471"/>
      <c r="H85" s="472"/>
    </row>
    <row r="86" spans="1:8" ht="20.25" customHeight="1" x14ac:dyDescent="0.2">
      <c r="A86" s="82">
        <v>76</v>
      </c>
      <c r="B86" s="470"/>
      <c r="C86" s="470"/>
      <c r="D86" s="471"/>
      <c r="E86" s="471"/>
      <c r="F86" s="471"/>
      <c r="G86" s="471"/>
      <c r="H86" s="472"/>
    </row>
    <row r="87" spans="1:8" ht="20.25" customHeight="1" x14ac:dyDescent="0.2">
      <c r="A87" s="82">
        <v>77</v>
      </c>
      <c r="B87" s="470"/>
      <c r="C87" s="470"/>
      <c r="D87" s="471"/>
      <c r="E87" s="471"/>
      <c r="F87" s="471"/>
      <c r="G87" s="471"/>
      <c r="H87" s="472"/>
    </row>
    <row r="88" spans="1:8" ht="20.25" customHeight="1" x14ac:dyDescent="0.2">
      <c r="A88" s="82">
        <v>78</v>
      </c>
      <c r="B88" s="470"/>
      <c r="C88" s="470"/>
      <c r="D88" s="471"/>
      <c r="E88" s="471"/>
      <c r="F88" s="471"/>
      <c r="G88" s="471"/>
      <c r="H88" s="472"/>
    </row>
    <row r="89" spans="1:8" ht="20.25" customHeight="1" x14ac:dyDescent="0.2">
      <c r="A89" s="82">
        <v>79</v>
      </c>
      <c r="B89" s="470"/>
      <c r="C89" s="470"/>
      <c r="D89" s="471"/>
      <c r="E89" s="471"/>
      <c r="F89" s="471"/>
      <c r="G89" s="471"/>
      <c r="H89" s="472"/>
    </row>
    <row r="90" spans="1:8" ht="20.25" customHeight="1" x14ac:dyDescent="0.2">
      <c r="A90" s="82">
        <v>80</v>
      </c>
      <c r="B90" s="470"/>
      <c r="C90" s="470"/>
      <c r="D90" s="471"/>
      <c r="E90" s="471"/>
      <c r="F90" s="471"/>
      <c r="G90" s="471"/>
      <c r="H90" s="472"/>
    </row>
    <row r="91" spans="1:8" ht="20.25" customHeight="1" x14ac:dyDescent="0.2">
      <c r="A91" s="82">
        <v>81</v>
      </c>
      <c r="B91" s="470"/>
      <c r="C91" s="470"/>
      <c r="D91" s="471"/>
      <c r="E91" s="471"/>
      <c r="F91" s="471"/>
      <c r="G91" s="471"/>
      <c r="H91" s="472"/>
    </row>
    <row r="92" spans="1:8" ht="20.25" customHeight="1" x14ac:dyDescent="0.2">
      <c r="A92" s="82">
        <v>82</v>
      </c>
      <c r="B92" s="470"/>
      <c r="C92" s="470"/>
      <c r="D92" s="471"/>
      <c r="E92" s="471"/>
      <c r="F92" s="471"/>
      <c r="G92" s="471"/>
      <c r="H92" s="472"/>
    </row>
    <row r="93" spans="1:8" ht="20.25" customHeight="1" x14ac:dyDescent="0.2">
      <c r="A93" s="82">
        <v>83</v>
      </c>
      <c r="B93" s="470"/>
      <c r="C93" s="470"/>
      <c r="D93" s="471"/>
      <c r="E93" s="471"/>
      <c r="F93" s="471"/>
      <c r="G93" s="471"/>
      <c r="H93" s="472"/>
    </row>
    <row r="94" spans="1:8" ht="20.25" customHeight="1" x14ac:dyDescent="0.2">
      <c r="A94" s="82">
        <v>84</v>
      </c>
      <c r="B94" s="470"/>
      <c r="C94" s="470"/>
      <c r="D94" s="471"/>
      <c r="E94" s="471"/>
      <c r="F94" s="471"/>
      <c r="G94" s="471"/>
      <c r="H94" s="472"/>
    </row>
    <row r="95" spans="1:8" ht="20.25" customHeight="1" x14ac:dyDescent="0.2">
      <c r="A95" s="82">
        <v>85</v>
      </c>
      <c r="B95" s="470"/>
      <c r="C95" s="470"/>
      <c r="D95" s="471"/>
      <c r="E95" s="471"/>
      <c r="F95" s="471"/>
      <c r="G95" s="471"/>
      <c r="H95" s="472"/>
    </row>
    <row r="96" spans="1:8" ht="20.25" customHeight="1" x14ac:dyDescent="0.2">
      <c r="A96" s="82">
        <v>86</v>
      </c>
      <c r="B96" s="470"/>
      <c r="C96" s="470"/>
      <c r="D96" s="471"/>
      <c r="E96" s="471"/>
      <c r="F96" s="471"/>
      <c r="G96" s="471"/>
      <c r="H96" s="472"/>
    </row>
    <row r="97" spans="1:8" ht="20.25" customHeight="1" x14ac:dyDescent="0.2">
      <c r="A97" s="82">
        <v>87</v>
      </c>
      <c r="B97" s="470"/>
      <c r="C97" s="470"/>
      <c r="D97" s="471"/>
      <c r="E97" s="471"/>
      <c r="F97" s="471"/>
      <c r="G97" s="471"/>
      <c r="H97" s="472"/>
    </row>
    <row r="98" spans="1:8" ht="20.25" customHeight="1" x14ac:dyDescent="0.2">
      <c r="A98" s="82">
        <v>88</v>
      </c>
      <c r="B98" s="470"/>
      <c r="C98" s="470"/>
      <c r="D98" s="471"/>
      <c r="E98" s="471"/>
      <c r="F98" s="471"/>
      <c r="G98" s="471"/>
      <c r="H98" s="472"/>
    </row>
    <row r="99" spans="1:8" ht="20.25" customHeight="1" x14ac:dyDescent="0.2">
      <c r="A99" s="82">
        <v>89</v>
      </c>
      <c r="B99" s="470"/>
      <c r="C99" s="470"/>
      <c r="D99" s="471"/>
      <c r="E99" s="471"/>
      <c r="F99" s="471"/>
      <c r="G99" s="471"/>
      <c r="H99" s="472"/>
    </row>
    <row r="100" spans="1:8" ht="20.25" customHeight="1" x14ac:dyDescent="0.2">
      <c r="A100" s="82">
        <v>90</v>
      </c>
      <c r="B100" s="470"/>
      <c r="C100" s="470"/>
      <c r="D100" s="471"/>
      <c r="E100" s="471"/>
      <c r="F100" s="471"/>
      <c r="G100" s="471"/>
      <c r="H100" s="472"/>
    </row>
    <row r="101" spans="1:8" ht="20.25" customHeight="1" x14ac:dyDescent="0.2">
      <c r="A101" s="82">
        <v>91</v>
      </c>
      <c r="B101" s="470"/>
      <c r="C101" s="470"/>
      <c r="D101" s="471"/>
      <c r="E101" s="471"/>
      <c r="F101" s="471"/>
      <c r="G101" s="471"/>
      <c r="H101" s="472"/>
    </row>
    <row r="102" spans="1:8" ht="20.25" customHeight="1" x14ac:dyDescent="0.2">
      <c r="A102" s="82">
        <v>92</v>
      </c>
      <c r="B102" s="470"/>
      <c r="C102" s="470"/>
      <c r="D102" s="471"/>
      <c r="E102" s="471"/>
      <c r="F102" s="471"/>
      <c r="G102" s="471"/>
      <c r="H102" s="472"/>
    </row>
    <row r="103" spans="1:8" ht="20.25" customHeight="1" x14ac:dyDescent="0.2">
      <c r="A103" s="82">
        <v>93</v>
      </c>
      <c r="B103" s="470"/>
      <c r="C103" s="470"/>
      <c r="D103" s="471"/>
      <c r="E103" s="471"/>
      <c r="F103" s="471"/>
      <c r="G103" s="471"/>
      <c r="H103" s="472"/>
    </row>
    <row r="104" spans="1:8" ht="20.25" customHeight="1" x14ac:dyDescent="0.2">
      <c r="A104" s="82">
        <v>94</v>
      </c>
      <c r="B104" s="470"/>
      <c r="C104" s="470"/>
      <c r="D104" s="471"/>
      <c r="E104" s="471"/>
      <c r="F104" s="471"/>
      <c r="G104" s="471"/>
      <c r="H104" s="472"/>
    </row>
    <row r="105" spans="1:8" ht="20.25" customHeight="1" x14ac:dyDescent="0.2">
      <c r="A105" s="82">
        <v>95</v>
      </c>
      <c r="B105" s="470"/>
      <c r="C105" s="470"/>
      <c r="D105" s="471"/>
      <c r="E105" s="471"/>
      <c r="F105" s="471"/>
      <c r="G105" s="471"/>
      <c r="H105" s="472"/>
    </row>
    <row r="106" spans="1:8" ht="20.25" customHeight="1" x14ac:dyDescent="0.2">
      <c r="A106" s="82">
        <v>96</v>
      </c>
      <c r="B106" s="470"/>
      <c r="C106" s="470"/>
      <c r="D106" s="471"/>
      <c r="E106" s="471"/>
      <c r="F106" s="471"/>
      <c r="G106" s="471"/>
      <c r="H106" s="472"/>
    </row>
    <row r="107" spans="1:8" ht="20.25" customHeight="1" x14ac:dyDescent="0.2">
      <c r="A107" s="82">
        <v>97</v>
      </c>
      <c r="B107" s="470"/>
      <c r="C107" s="470"/>
      <c r="D107" s="471"/>
      <c r="E107" s="471"/>
      <c r="F107" s="471"/>
      <c r="G107" s="471"/>
      <c r="H107" s="472"/>
    </row>
    <row r="108" spans="1:8" ht="20.25" customHeight="1" x14ac:dyDescent="0.2">
      <c r="A108" s="82">
        <v>98</v>
      </c>
      <c r="B108" s="470"/>
      <c r="C108" s="470"/>
      <c r="D108" s="471"/>
      <c r="E108" s="471"/>
      <c r="F108" s="471"/>
      <c r="G108" s="471"/>
      <c r="H108" s="472"/>
    </row>
    <row r="109" spans="1:8" ht="20.25" customHeight="1" x14ac:dyDescent="0.2">
      <c r="A109" s="82">
        <v>99</v>
      </c>
      <c r="B109" s="470"/>
      <c r="C109" s="470"/>
      <c r="D109" s="471"/>
      <c r="E109" s="471"/>
      <c r="F109" s="471"/>
      <c r="G109" s="471"/>
      <c r="H109" s="472"/>
    </row>
    <row r="110" spans="1:8" ht="20.25" customHeight="1" x14ac:dyDescent="0.2">
      <c r="A110" s="82">
        <v>100</v>
      </c>
      <c r="B110" s="470"/>
      <c r="C110" s="470"/>
      <c r="D110" s="471"/>
      <c r="E110" s="471"/>
      <c r="F110" s="471"/>
      <c r="G110" s="471"/>
      <c r="H110" s="472"/>
    </row>
    <row r="111" spans="1:8" ht="20.25" customHeight="1" x14ac:dyDescent="0.2">
      <c r="A111" s="82">
        <v>101</v>
      </c>
      <c r="B111" s="470"/>
      <c r="C111" s="470"/>
      <c r="D111" s="471"/>
      <c r="E111" s="471"/>
      <c r="F111" s="471"/>
      <c r="G111" s="471"/>
      <c r="H111" s="472"/>
    </row>
    <row r="112" spans="1:8" ht="20.25" customHeight="1" x14ac:dyDescent="0.2">
      <c r="A112" s="82">
        <v>102</v>
      </c>
      <c r="B112" s="470"/>
      <c r="C112" s="470"/>
      <c r="D112" s="471"/>
      <c r="E112" s="471"/>
      <c r="F112" s="471"/>
      <c r="G112" s="471"/>
      <c r="H112" s="472"/>
    </row>
    <row r="113" spans="1:8" ht="20.25" customHeight="1" x14ac:dyDescent="0.2">
      <c r="A113" s="82">
        <v>103</v>
      </c>
      <c r="B113" s="470"/>
      <c r="C113" s="470"/>
      <c r="D113" s="471"/>
      <c r="E113" s="471"/>
      <c r="F113" s="471"/>
      <c r="G113" s="471"/>
      <c r="H113" s="472"/>
    </row>
    <row r="114" spans="1:8" ht="20.25" customHeight="1" x14ac:dyDescent="0.2">
      <c r="A114" s="82">
        <v>104</v>
      </c>
      <c r="B114" s="470"/>
      <c r="C114" s="470"/>
      <c r="D114" s="471"/>
      <c r="E114" s="471"/>
      <c r="F114" s="471"/>
      <c r="G114" s="471"/>
      <c r="H114" s="472"/>
    </row>
    <row r="115" spans="1:8" ht="20.25" customHeight="1" x14ac:dyDescent="0.2">
      <c r="A115" s="82">
        <v>105</v>
      </c>
      <c r="B115" s="470"/>
      <c r="C115" s="470"/>
      <c r="D115" s="471"/>
      <c r="E115" s="471"/>
      <c r="F115" s="471"/>
      <c r="G115" s="471"/>
      <c r="H115" s="472"/>
    </row>
    <row r="116" spans="1:8" ht="20.25" customHeight="1" x14ac:dyDescent="0.2">
      <c r="A116" s="82">
        <v>106</v>
      </c>
      <c r="B116" s="470"/>
      <c r="C116" s="470"/>
      <c r="D116" s="471"/>
      <c r="E116" s="471"/>
      <c r="F116" s="471"/>
      <c r="G116" s="471"/>
      <c r="H116" s="472"/>
    </row>
    <row r="117" spans="1:8" ht="20.25" customHeight="1" x14ac:dyDescent="0.2">
      <c r="A117" s="82">
        <v>107</v>
      </c>
      <c r="B117" s="470"/>
      <c r="C117" s="470"/>
      <c r="D117" s="471"/>
      <c r="E117" s="471"/>
      <c r="F117" s="471"/>
      <c r="G117" s="471"/>
      <c r="H117" s="472"/>
    </row>
    <row r="118" spans="1:8" ht="20.25" customHeight="1" x14ac:dyDescent="0.2">
      <c r="A118" s="82">
        <v>108</v>
      </c>
      <c r="B118" s="470"/>
      <c r="C118" s="470"/>
      <c r="D118" s="471"/>
      <c r="E118" s="471"/>
      <c r="F118" s="471"/>
      <c r="G118" s="471"/>
      <c r="H118" s="472"/>
    </row>
    <row r="119" spans="1:8" ht="20.25" customHeight="1" x14ac:dyDescent="0.2">
      <c r="A119" s="82">
        <v>109</v>
      </c>
      <c r="B119" s="470"/>
      <c r="C119" s="470"/>
      <c r="D119" s="471"/>
      <c r="E119" s="471"/>
      <c r="F119" s="471"/>
      <c r="G119" s="471"/>
      <c r="H119" s="472"/>
    </row>
    <row r="120" spans="1:8" ht="20.25" customHeight="1" x14ac:dyDescent="0.2">
      <c r="A120" s="82">
        <v>110</v>
      </c>
      <c r="B120" s="470"/>
      <c r="C120" s="470"/>
      <c r="D120" s="471"/>
      <c r="E120" s="471"/>
      <c r="F120" s="471"/>
      <c r="G120" s="471"/>
      <c r="H120" s="472"/>
    </row>
    <row r="121" spans="1:8" ht="20.25" customHeight="1" x14ac:dyDescent="0.2">
      <c r="A121" s="82">
        <v>111</v>
      </c>
      <c r="B121" s="470"/>
      <c r="C121" s="470"/>
      <c r="D121" s="471"/>
      <c r="E121" s="471"/>
      <c r="F121" s="471"/>
      <c r="G121" s="471"/>
      <c r="H121" s="472"/>
    </row>
    <row r="122" spans="1:8" ht="20.25" customHeight="1" x14ac:dyDescent="0.2">
      <c r="A122" s="82">
        <v>112</v>
      </c>
      <c r="B122" s="470"/>
      <c r="C122" s="470"/>
      <c r="D122" s="471"/>
      <c r="E122" s="471"/>
      <c r="F122" s="471"/>
      <c r="G122" s="471"/>
      <c r="H122" s="472"/>
    </row>
    <row r="123" spans="1:8" ht="20.25" customHeight="1" x14ac:dyDescent="0.2">
      <c r="A123" s="82">
        <v>113</v>
      </c>
      <c r="B123" s="470"/>
      <c r="C123" s="470"/>
      <c r="D123" s="471"/>
      <c r="E123" s="471"/>
      <c r="F123" s="471"/>
      <c r="G123" s="471"/>
      <c r="H123" s="472"/>
    </row>
    <row r="124" spans="1:8" ht="20.25" customHeight="1" x14ac:dyDescent="0.2">
      <c r="A124" s="82">
        <v>114</v>
      </c>
      <c r="B124" s="470"/>
      <c r="C124" s="470"/>
      <c r="D124" s="471"/>
      <c r="E124" s="471"/>
      <c r="F124" s="471"/>
      <c r="G124" s="471"/>
      <c r="H124" s="472"/>
    </row>
    <row r="125" spans="1:8" ht="20.25" customHeight="1" x14ac:dyDescent="0.2">
      <c r="A125" s="82">
        <v>115</v>
      </c>
      <c r="B125" s="470"/>
      <c r="C125" s="470"/>
      <c r="D125" s="471"/>
      <c r="E125" s="471"/>
      <c r="F125" s="471"/>
      <c r="G125" s="471"/>
      <c r="H125" s="472"/>
    </row>
    <row r="126" spans="1:8" ht="20.25" customHeight="1" x14ac:dyDescent="0.2">
      <c r="A126" s="82">
        <v>116</v>
      </c>
      <c r="B126" s="470"/>
      <c r="C126" s="470"/>
      <c r="D126" s="471"/>
      <c r="E126" s="471"/>
      <c r="F126" s="471"/>
      <c r="G126" s="471"/>
      <c r="H126" s="472"/>
    </row>
    <row r="127" spans="1:8" ht="20.25" customHeight="1" x14ac:dyDescent="0.2">
      <c r="A127" s="82">
        <v>117</v>
      </c>
      <c r="B127" s="470"/>
      <c r="C127" s="470"/>
      <c r="D127" s="471"/>
      <c r="E127" s="471"/>
      <c r="F127" s="471"/>
      <c r="G127" s="471"/>
      <c r="H127" s="472"/>
    </row>
    <row r="128" spans="1:8" ht="20.25" customHeight="1" x14ac:dyDescent="0.2">
      <c r="A128" s="82">
        <v>118</v>
      </c>
      <c r="B128" s="470"/>
      <c r="C128" s="470"/>
      <c r="D128" s="471"/>
      <c r="E128" s="471"/>
      <c r="F128" s="471"/>
      <c r="G128" s="471"/>
      <c r="H128" s="472"/>
    </row>
    <row r="129" spans="1:8" ht="20.25" customHeight="1" x14ac:dyDescent="0.2">
      <c r="A129" s="82">
        <v>119</v>
      </c>
      <c r="B129" s="470"/>
      <c r="C129" s="470"/>
      <c r="D129" s="471"/>
      <c r="E129" s="471"/>
      <c r="F129" s="471"/>
      <c r="G129" s="471"/>
      <c r="H129" s="472"/>
    </row>
    <row r="130" spans="1:8" ht="20.25" customHeight="1" x14ac:dyDescent="0.2">
      <c r="A130" s="82">
        <v>120</v>
      </c>
      <c r="B130" s="470"/>
      <c r="C130" s="470"/>
      <c r="D130" s="471"/>
      <c r="E130" s="471"/>
      <c r="F130" s="471"/>
      <c r="G130" s="471"/>
      <c r="H130" s="472"/>
    </row>
    <row r="131" spans="1:8" ht="20.25" customHeight="1" x14ac:dyDescent="0.2">
      <c r="A131" s="82">
        <v>121</v>
      </c>
      <c r="B131" s="470"/>
      <c r="C131" s="470"/>
      <c r="D131" s="471"/>
      <c r="E131" s="471"/>
      <c r="F131" s="471"/>
      <c r="G131" s="471"/>
      <c r="H131" s="472"/>
    </row>
    <row r="132" spans="1:8" ht="20.25" customHeight="1" x14ac:dyDescent="0.2">
      <c r="A132" s="82">
        <v>122</v>
      </c>
      <c r="B132" s="470"/>
      <c r="C132" s="470"/>
      <c r="D132" s="471"/>
      <c r="E132" s="471"/>
      <c r="F132" s="471"/>
      <c r="G132" s="471"/>
      <c r="H132" s="472"/>
    </row>
    <row r="133" spans="1:8" ht="20.25" customHeight="1" x14ac:dyDescent="0.2">
      <c r="A133" s="82">
        <v>123</v>
      </c>
      <c r="B133" s="470"/>
      <c r="C133" s="470"/>
      <c r="D133" s="471"/>
      <c r="E133" s="471"/>
      <c r="F133" s="471"/>
      <c r="G133" s="471"/>
      <c r="H133" s="472"/>
    </row>
    <row r="134" spans="1:8" ht="20.25" customHeight="1" x14ac:dyDescent="0.2">
      <c r="A134" s="82">
        <v>124</v>
      </c>
      <c r="B134" s="470"/>
      <c r="C134" s="470"/>
      <c r="D134" s="471"/>
      <c r="E134" s="471"/>
      <c r="F134" s="471"/>
      <c r="G134" s="471"/>
      <c r="H134" s="472"/>
    </row>
    <row r="135" spans="1:8" ht="20.25" customHeight="1" x14ac:dyDescent="0.2">
      <c r="A135" s="82">
        <v>125</v>
      </c>
      <c r="B135" s="470"/>
      <c r="C135" s="470"/>
      <c r="D135" s="471"/>
      <c r="E135" s="471"/>
      <c r="F135" s="471"/>
      <c r="G135" s="471"/>
      <c r="H135" s="472"/>
    </row>
    <row r="136" spans="1:8" ht="20.25" customHeight="1" x14ac:dyDescent="0.2">
      <c r="A136" s="82">
        <v>126</v>
      </c>
      <c r="B136" s="470"/>
      <c r="C136" s="470"/>
      <c r="D136" s="471"/>
      <c r="E136" s="471"/>
      <c r="F136" s="471"/>
      <c r="G136" s="471"/>
      <c r="H136" s="472"/>
    </row>
    <row r="137" spans="1:8" ht="20.25" customHeight="1" x14ac:dyDescent="0.2">
      <c r="A137" s="82">
        <v>127</v>
      </c>
      <c r="B137" s="470"/>
      <c r="C137" s="470"/>
      <c r="D137" s="471"/>
      <c r="E137" s="471"/>
      <c r="F137" s="471"/>
      <c r="G137" s="471"/>
      <c r="H137" s="472"/>
    </row>
    <row r="138" spans="1:8" ht="20.25" customHeight="1" x14ac:dyDescent="0.2">
      <c r="A138" s="82">
        <v>128</v>
      </c>
      <c r="B138" s="470"/>
      <c r="C138" s="470"/>
      <c r="D138" s="471"/>
      <c r="E138" s="471"/>
      <c r="F138" s="471"/>
      <c r="G138" s="471"/>
      <c r="H138" s="472"/>
    </row>
    <row r="139" spans="1:8" ht="20.25" customHeight="1" x14ac:dyDescent="0.2">
      <c r="A139" s="82">
        <v>129</v>
      </c>
      <c r="B139" s="470"/>
      <c r="C139" s="470"/>
      <c r="D139" s="471"/>
      <c r="E139" s="471"/>
      <c r="F139" s="471"/>
      <c r="G139" s="471"/>
      <c r="H139" s="472"/>
    </row>
    <row r="140" spans="1:8" ht="20.25" customHeight="1" x14ac:dyDescent="0.2">
      <c r="A140" s="82">
        <v>130</v>
      </c>
      <c r="B140" s="470"/>
      <c r="C140" s="470"/>
      <c r="D140" s="471"/>
      <c r="E140" s="471"/>
      <c r="F140" s="471"/>
      <c r="G140" s="471"/>
      <c r="H140" s="472"/>
    </row>
    <row r="141" spans="1:8" ht="20.25" customHeight="1" x14ac:dyDescent="0.2">
      <c r="A141" s="82">
        <v>131</v>
      </c>
      <c r="B141" s="470"/>
      <c r="C141" s="470"/>
      <c r="D141" s="471"/>
      <c r="E141" s="471"/>
      <c r="F141" s="471"/>
      <c r="G141" s="471"/>
      <c r="H141" s="472"/>
    </row>
    <row r="142" spans="1:8" ht="20.25" customHeight="1" x14ac:dyDescent="0.2">
      <c r="A142" s="82">
        <v>132</v>
      </c>
      <c r="B142" s="470"/>
      <c r="C142" s="470"/>
      <c r="D142" s="471"/>
      <c r="E142" s="471"/>
      <c r="F142" s="471"/>
      <c r="G142" s="471"/>
      <c r="H142" s="472"/>
    </row>
    <row r="143" spans="1:8" ht="20.25" customHeight="1" x14ac:dyDescent="0.2">
      <c r="A143" s="82">
        <v>133</v>
      </c>
      <c r="B143" s="470"/>
      <c r="C143" s="470"/>
      <c r="D143" s="471"/>
      <c r="E143" s="471"/>
      <c r="F143" s="471"/>
      <c r="G143" s="471"/>
      <c r="H143" s="472"/>
    </row>
    <row r="144" spans="1:8" ht="20.25" customHeight="1" x14ac:dyDescent="0.2">
      <c r="A144" s="82">
        <v>134</v>
      </c>
      <c r="B144" s="470"/>
      <c r="C144" s="470"/>
      <c r="D144" s="471"/>
      <c r="E144" s="471"/>
      <c r="F144" s="471"/>
      <c r="G144" s="471"/>
      <c r="H144" s="472"/>
    </row>
    <row r="145" spans="1:8" ht="20.25" customHeight="1" x14ac:dyDescent="0.2">
      <c r="A145" s="82">
        <v>135</v>
      </c>
      <c r="B145" s="470"/>
      <c r="C145" s="470"/>
      <c r="D145" s="471"/>
      <c r="E145" s="471"/>
      <c r="F145" s="471"/>
      <c r="G145" s="471"/>
      <c r="H145" s="472"/>
    </row>
    <row r="146" spans="1:8" ht="20.25" customHeight="1" x14ac:dyDescent="0.2">
      <c r="A146" s="82">
        <v>136</v>
      </c>
      <c r="B146" s="470"/>
      <c r="C146" s="470"/>
      <c r="D146" s="471"/>
      <c r="E146" s="471"/>
      <c r="F146" s="471"/>
      <c r="G146" s="471"/>
      <c r="H146" s="472"/>
    </row>
    <row r="147" spans="1:8" ht="20.25" customHeight="1" x14ac:dyDescent="0.2">
      <c r="A147" s="82">
        <v>137</v>
      </c>
      <c r="B147" s="470"/>
      <c r="C147" s="470"/>
      <c r="D147" s="471"/>
      <c r="E147" s="471"/>
      <c r="F147" s="471"/>
      <c r="G147" s="471"/>
      <c r="H147" s="472"/>
    </row>
    <row r="148" spans="1:8" ht="20.25" customHeight="1" x14ac:dyDescent="0.2">
      <c r="A148" s="82">
        <v>138</v>
      </c>
      <c r="B148" s="470"/>
      <c r="C148" s="470"/>
      <c r="D148" s="471"/>
      <c r="E148" s="471"/>
      <c r="F148" s="471"/>
      <c r="G148" s="471"/>
      <c r="H148" s="472"/>
    </row>
    <row r="149" spans="1:8" ht="20.25" customHeight="1" x14ac:dyDescent="0.2">
      <c r="A149" s="82">
        <v>139</v>
      </c>
      <c r="B149" s="470"/>
      <c r="C149" s="470"/>
      <c r="D149" s="471"/>
      <c r="E149" s="471"/>
      <c r="F149" s="471"/>
      <c r="G149" s="471"/>
      <c r="H149" s="472"/>
    </row>
    <row r="150" spans="1:8" ht="20.25" customHeight="1" x14ac:dyDescent="0.2">
      <c r="A150" s="82">
        <v>140</v>
      </c>
      <c r="B150" s="470"/>
      <c r="C150" s="470"/>
      <c r="D150" s="471"/>
      <c r="E150" s="471"/>
      <c r="F150" s="471"/>
      <c r="G150" s="471"/>
      <c r="H150" s="472"/>
    </row>
    <row r="151" spans="1:8" ht="20.25" customHeight="1" x14ac:dyDescent="0.2">
      <c r="A151" s="82">
        <v>141</v>
      </c>
      <c r="B151" s="470"/>
      <c r="C151" s="470"/>
      <c r="D151" s="471"/>
      <c r="E151" s="471"/>
      <c r="F151" s="471"/>
      <c r="G151" s="471"/>
      <c r="H151" s="472"/>
    </row>
    <row r="152" spans="1:8" ht="20.25" customHeight="1" x14ac:dyDescent="0.2">
      <c r="A152" s="82">
        <v>142</v>
      </c>
      <c r="B152" s="470"/>
      <c r="C152" s="470"/>
      <c r="D152" s="471"/>
      <c r="E152" s="471"/>
      <c r="F152" s="471"/>
      <c r="G152" s="471"/>
      <c r="H152" s="472"/>
    </row>
    <row r="153" spans="1:8" ht="20.25" customHeight="1" x14ac:dyDescent="0.2">
      <c r="A153" s="82">
        <v>143</v>
      </c>
      <c r="B153" s="470"/>
      <c r="C153" s="470"/>
      <c r="D153" s="471"/>
      <c r="E153" s="471"/>
      <c r="F153" s="471"/>
      <c r="G153" s="471"/>
      <c r="H153" s="472"/>
    </row>
    <row r="154" spans="1:8" ht="20.25" customHeight="1" x14ac:dyDescent="0.2">
      <c r="A154" s="82">
        <v>144</v>
      </c>
      <c r="B154" s="470"/>
      <c r="C154" s="470"/>
      <c r="D154" s="471"/>
      <c r="E154" s="471"/>
      <c r="F154" s="471"/>
      <c r="G154" s="471"/>
      <c r="H154" s="472"/>
    </row>
    <row r="155" spans="1:8" ht="20.25" customHeight="1" x14ac:dyDescent="0.2">
      <c r="A155" s="82">
        <v>145</v>
      </c>
      <c r="B155" s="470"/>
      <c r="C155" s="470"/>
      <c r="D155" s="471"/>
      <c r="E155" s="471"/>
      <c r="F155" s="471"/>
      <c r="G155" s="471"/>
      <c r="H155" s="472"/>
    </row>
    <row r="156" spans="1:8" ht="20.25" customHeight="1" x14ac:dyDescent="0.2">
      <c r="A156" s="82">
        <v>146</v>
      </c>
      <c r="B156" s="470"/>
      <c r="C156" s="470"/>
      <c r="D156" s="471"/>
      <c r="E156" s="471"/>
      <c r="F156" s="471"/>
      <c r="G156" s="471"/>
      <c r="H156" s="472"/>
    </row>
    <row r="157" spans="1:8" ht="20.25" customHeight="1" x14ac:dyDescent="0.2">
      <c r="A157" s="82">
        <v>147</v>
      </c>
      <c r="B157" s="470"/>
      <c r="C157" s="470"/>
      <c r="D157" s="471"/>
      <c r="E157" s="471"/>
      <c r="F157" s="471"/>
      <c r="G157" s="471"/>
      <c r="H157" s="472"/>
    </row>
    <row r="158" spans="1:8" ht="20.25" customHeight="1" x14ac:dyDescent="0.2">
      <c r="A158" s="82">
        <v>148</v>
      </c>
      <c r="B158" s="470"/>
      <c r="C158" s="470"/>
      <c r="D158" s="471"/>
      <c r="E158" s="471"/>
      <c r="F158" s="471"/>
      <c r="G158" s="471"/>
      <c r="H158" s="472"/>
    </row>
    <row r="159" spans="1:8" ht="20.25" customHeight="1" x14ac:dyDescent="0.2">
      <c r="A159" s="82">
        <v>149</v>
      </c>
      <c r="B159" s="470"/>
      <c r="C159" s="470"/>
      <c r="D159" s="471"/>
      <c r="E159" s="471"/>
      <c r="F159" s="471"/>
      <c r="G159" s="471"/>
      <c r="H159" s="472"/>
    </row>
    <row r="160" spans="1:8" ht="20.25" customHeight="1" x14ac:dyDescent="0.2">
      <c r="A160" s="82">
        <v>150</v>
      </c>
      <c r="B160" s="470"/>
      <c r="C160" s="470"/>
      <c r="D160" s="471"/>
      <c r="E160" s="471"/>
      <c r="F160" s="471"/>
      <c r="G160" s="471"/>
      <c r="H160" s="472"/>
    </row>
    <row r="161" spans="1:8" ht="20.25" customHeight="1" x14ac:dyDescent="0.2">
      <c r="A161" s="82">
        <v>151</v>
      </c>
      <c r="B161" s="470"/>
      <c r="C161" s="470"/>
      <c r="D161" s="471"/>
      <c r="E161" s="471"/>
      <c r="F161" s="471"/>
      <c r="G161" s="471"/>
      <c r="H161" s="472"/>
    </row>
    <row r="162" spans="1:8" ht="20.25" customHeight="1" x14ac:dyDescent="0.2">
      <c r="A162" s="82">
        <v>152</v>
      </c>
      <c r="B162" s="470"/>
      <c r="C162" s="470"/>
      <c r="D162" s="471"/>
      <c r="E162" s="471"/>
      <c r="F162" s="471"/>
      <c r="G162" s="471"/>
      <c r="H162" s="472"/>
    </row>
    <row r="163" spans="1:8" ht="20.25" customHeight="1" x14ac:dyDescent="0.2">
      <c r="A163" s="82">
        <v>153</v>
      </c>
      <c r="B163" s="470"/>
      <c r="C163" s="470"/>
      <c r="D163" s="471"/>
      <c r="E163" s="471"/>
      <c r="F163" s="471"/>
      <c r="G163" s="471"/>
      <c r="H163" s="472"/>
    </row>
    <row r="164" spans="1:8" ht="20.25" customHeight="1" x14ac:dyDescent="0.2">
      <c r="A164" s="82">
        <v>154</v>
      </c>
      <c r="B164" s="470"/>
      <c r="C164" s="470"/>
      <c r="D164" s="471"/>
      <c r="E164" s="471"/>
      <c r="F164" s="471"/>
      <c r="G164" s="471"/>
      <c r="H164" s="472"/>
    </row>
    <row r="165" spans="1:8" ht="20.25" customHeight="1" x14ac:dyDescent="0.2">
      <c r="A165" s="82">
        <v>155</v>
      </c>
      <c r="B165" s="470"/>
      <c r="C165" s="470"/>
      <c r="D165" s="471"/>
      <c r="E165" s="471"/>
      <c r="F165" s="471"/>
      <c r="G165" s="471"/>
      <c r="H165" s="472"/>
    </row>
    <row r="166" spans="1:8" ht="20.25" customHeight="1" x14ac:dyDescent="0.2">
      <c r="A166" s="82">
        <v>156</v>
      </c>
      <c r="B166" s="470"/>
      <c r="C166" s="470"/>
      <c r="D166" s="471"/>
      <c r="E166" s="471"/>
      <c r="F166" s="471"/>
      <c r="G166" s="471"/>
      <c r="H166" s="472"/>
    </row>
    <row r="167" spans="1:8" ht="20.25" customHeight="1" x14ac:dyDescent="0.2">
      <c r="A167" s="82">
        <v>157</v>
      </c>
      <c r="B167" s="470"/>
      <c r="C167" s="470"/>
      <c r="D167" s="471"/>
      <c r="E167" s="471"/>
      <c r="F167" s="471"/>
      <c r="G167" s="471"/>
      <c r="H167" s="472"/>
    </row>
    <row r="168" spans="1:8" ht="20.25" customHeight="1" x14ac:dyDescent="0.2">
      <c r="A168" s="82">
        <v>158</v>
      </c>
      <c r="B168" s="470"/>
      <c r="C168" s="470"/>
      <c r="D168" s="471"/>
      <c r="E168" s="471"/>
      <c r="F168" s="471"/>
      <c r="G168" s="471"/>
      <c r="H168" s="472"/>
    </row>
    <row r="169" spans="1:8" ht="20.25" customHeight="1" x14ac:dyDescent="0.2">
      <c r="A169" s="82">
        <v>159</v>
      </c>
      <c r="B169" s="470"/>
      <c r="C169" s="470"/>
      <c r="D169" s="471"/>
      <c r="E169" s="471"/>
      <c r="F169" s="471"/>
      <c r="G169" s="471"/>
      <c r="H169" s="472"/>
    </row>
    <row r="170" spans="1:8" ht="20.25" customHeight="1" x14ac:dyDescent="0.2">
      <c r="A170" s="82">
        <v>160</v>
      </c>
      <c r="B170" s="470"/>
      <c r="C170" s="470"/>
      <c r="D170" s="471"/>
      <c r="E170" s="471"/>
      <c r="F170" s="471"/>
      <c r="G170" s="471"/>
      <c r="H170" s="472"/>
    </row>
    <row r="171" spans="1:8" ht="20.25" customHeight="1" x14ac:dyDescent="0.2">
      <c r="A171" s="82">
        <v>161</v>
      </c>
      <c r="B171" s="470"/>
      <c r="C171" s="470"/>
      <c r="D171" s="471"/>
      <c r="E171" s="471"/>
      <c r="F171" s="471"/>
      <c r="G171" s="471"/>
      <c r="H171" s="472"/>
    </row>
    <row r="172" spans="1:8" ht="20.25" customHeight="1" x14ac:dyDescent="0.2">
      <c r="A172" s="82">
        <v>162</v>
      </c>
      <c r="B172" s="470"/>
      <c r="C172" s="470"/>
      <c r="D172" s="471"/>
      <c r="E172" s="471"/>
      <c r="F172" s="471"/>
      <c r="G172" s="471"/>
      <c r="H172" s="472"/>
    </row>
    <row r="173" spans="1:8" ht="20.25" customHeight="1" x14ac:dyDescent="0.2">
      <c r="A173" s="82">
        <v>163</v>
      </c>
      <c r="B173" s="470"/>
      <c r="C173" s="470"/>
      <c r="D173" s="471"/>
      <c r="E173" s="471"/>
      <c r="F173" s="471"/>
      <c r="G173" s="471"/>
      <c r="H173" s="472"/>
    </row>
    <row r="174" spans="1:8" ht="20.25" customHeight="1" x14ac:dyDescent="0.2">
      <c r="A174" s="82">
        <v>164</v>
      </c>
      <c r="B174" s="470"/>
      <c r="C174" s="470"/>
      <c r="D174" s="471"/>
      <c r="E174" s="471"/>
      <c r="F174" s="471"/>
      <c r="G174" s="471"/>
      <c r="H174" s="472"/>
    </row>
    <row r="175" spans="1:8" ht="20.25" customHeight="1" x14ac:dyDescent="0.2">
      <c r="A175" s="82">
        <v>165</v>
      </c>
      <c r="B175" s="470"/>
      <c r="C175" s="470"/>
      <c r="D175" s="471"/>
      <c r="E175" s="471"/>
      <c r="F175" s="471"/>
      <c r="G175" s="471"/>
      <c r="H175" s="472"/>
    </row>
    <row r="176" spans="1:8" ht="20.25" customHeight="1" x14ac:dyDescent="0.2">
      <c r="A176" s="82">
        <v>166</v>
      </c>
      <c r="B176" s="470"/>
      <c r="C176" s="470"/>
      <c r="D176" s="471"/>
      <c r="E176" s="471"/>
      <c r="F176" s="471"/>
      <c r="G176" s="471"/>
      <c r="H176" s="472"/>
    </row>
    <row r="177" spans="1:8" ht="20.25" customHeight="1" x14ac:dyDescent="0.2">
      <c r="A177" s="82">
        <v>167</v>
      </c>
      <c r="B177" s="470"/>
      <c r="C177" s="470"/>
      <c r="D177" s="471"/>
      <c r="E177" s="471"/>
      <c r="F177" s="471"/>
      <c r="G177" s="471"/>
      <c r="H177" s="472"/>
    </row>
    <row r="178" spans="1:8" ht="20.25" customHeight="1" x14ac:dyDescent="0.2">
      <c r="A178" s="82">
        <v>168</v>
      </c>
      <c r="B178" s="470"/>
      <c r="C178" s="470"/>
      <c r="D178" s="471"/>
      <c r="E178" s="471"/>
      <c r="F178" s="471"/>
      <c r="G178" s="471"/>
      <c r="H178" s="472"/>
    </row>
    <row r="179" spans="1:8" ht="20.25" customHeight="1" x14ac:dyDescent="0.2">
      <c r="A179" s="82">
        <v>169</v>
      </c>
      <c r="B179" s="470"/>
      <c r="C179" s="470"/>
      <c r="D179" s="471"/>
      <c r="E179" s="471"/>
      <c r="F179" s="471"/>
      <c r="G179" s="471"/>
      <c r="H179" s="472"/>
    </row>
    <row r="180" spans="1:8" ht="20.25" customHeight="1" x14ac:dyDescent="0.2">
      <c r="A180" s="82">
        <v>170</v>
      </c>
      <c r="B180" s="470"/>
      <c r="C180" s="470"/>
      <c r="D180" s="471"/>
      <c r="E180" s="471"/>
      <c r="F180" s="471"/>
      <c r="G180" s="471"/>
      <c r="H180" s="472"/>
    </row>
    <row r="181" spans="1:8" ht="20.25" customHeight="1" x14ac:dyDescent="0.2">
      <c r="A181" s="82">
        <v>171</v>
      </c>
      <c r="B181" s="470"/>
      <c r="C181" s="470"/>
      <c r="D181" s="471"/>
      <c r="E181" s="471"/>
      <c r="F181" s="471"/>
      <c r="G181" s="471"/>
      <c r="H181" s="472"/>
    </row>
    <row r="182" spans="1:8" ht="20.25" customHeight="1" x14ac:dyDescent="0.2">
      <c r="A182" s="82">
        <v>172</v>
      </c>
      <c r="B182" s="470"/>
      <c r="C182" s="470"/>
      <c r="D182" s="471"/>
      <c r="E182" s="471"/>
      <c r="F182" s="471"/>
      <c r="G182" s="471"/>
      <c r="H182" s="472"/>
    </row>
    <row r="183" spans="1:8" ht="20.25" customHeight="1" x14ac:dyDescent="0.2">
      <c r="A183" s="82">
        <v>173</v>
      </c>
      <c r="B183" s="470"/>
      <c r="C183" s="470"/>
      <c r="D183" s="471"/>
      <c r="E183" s="471"/>
      <c r="F183" s="471"/>
      <c r="G183" s="471"/>
      <c r="H183" s="472"/>
    </row>
    <row r="184" spans="1:8" ht="20.25" customHeight="1" x14ac:dyDescent="0.2">
      <c r="A184" s="82">
        <v>174</v>
      </c>
      <c r="B184" s="470"/>
      <c r="C184" s="470"/>
      <c r="D184" s="471"/>
      <c r="E184" s="471"/>
      <c r="F184" s="471"/>
      <c r="G184" s="471"/>
      <c r="H184" s="472"/>
    </row>
    <row r="185" spans="1:8" ht="20.25" customHeight="1" x14ac:dyDescent="0.2">
      <c r="A185" s="82">
        <v>175</v>
      </c>
      <c r="B185" s="470"/>
      <c r="C185" s="470"/>
      <c r="D185" s="471"/>
      <c r="E185" s="471"/>
      <c r="F185" s="471"/>
      <c r="G185" s="471"/>
      <c r="H185" s="472"/>
    </row>
    <row r="186" spans="1:8" ht="20.25" customHeight="1" x14ac:dyDescent="0.2">
      <c r="A186" s="82">
        <v>176</v>
      </c>
      <c r="B186" s="470"/>
      <c r="C186" s="470"/>
      <c r="D186" s="471"/>
      <c r="E186" s="471"/>
      <c r="F186" s="471"/>
      <c r="G186" s="471"/>
      <c r="H186" s="472"/>
    </row>
    <row r="187" spans="1:8" ht="20.25" customHeight="1" x14ac:dyDescent="0.2">
      <c r="A187" s="82">
        <v>177</v>
      </c>
      <c r="B187" s="470"/>
      <c r="C187" s="470"/>
      <c r="D187" s="471"/>
      <c r="E187" s="471"/>
      <c r="F187" s="471"/>
      <c r="G187" s="471"/>
      <c r="H187" s="472"/>
    </row>
    <row r="188" spans="1:8" ht="20.25" customHeight="1" x14ac:dyDescent="0.2">
      <c r="A188" s="82">
        <v>178</v>
      </c>
      <c r="B188" s="470"/>
      <c r="C188" s="470"/>
      <c r="D188" s="471"/>
      <c r="E188" s="471"/>
      <c r="F188" s="471"/>
      <c r="G188" s="471"/>
      <c r="H188" s="472"/>
    </row>
    <row r="189" spans="1:8" ht="20.25" customHeight="1" x14ac:dyDescent="0.2">
      <c r="A189" s="82">
        <v>179</v>
      </c>
      <c r="B189" s="470"/>
      <c r="C189" s="470"/>
      <c r="D189" s="471"/>
      <c r="E189" s="471"/>
      <c r="F189" s="471"/>
      <c r="G189" s="471"/>
      <c r="H189" s="472"/>
    </row>
    <row r="190" spans="1:8" ht="20.25" customHeight="1" x14ac:dyDescent="0.2">
      <c r="A190" s="82">
        <v>180</v>
      </c>
      <c r="B190" s="470"/>
      <c r="C190" s="470"/>
      <c r="D190" s="471"/>
      <c r="E190" s="471"/>
      <c r="F190" s="471"/>
      <c r="G190" s="471"/>
      <c r="H190" s="472"/>
    </row>
    <row r="191" spans="1:8" ht="20.25" customHeight="1" x14ac:dyDescent="0.2">
      <c r="A191" s="82">
        <v>181</v>
      </c>
      <c r="B191" s="470"/>
      <c r="C191" s="470"/>
      <c r="D191" s="471"/>
      <c r="E191" s="471"/>
      <c r="F191" s="471"/>
      <c r="G191" s="471"/>
      <c r="H191" s="472"/>
    </row>
    <row r="192" spans="1:8" ht="20.25" customHeight="1" x14ac:dyDescent="0.2">
      <c r="A192" s="82">
        <v>182</v>
      </c>
      <c r="B192" s="470"/>
      <c r="C192" s="470"/>
      <c r="D192" s="471"/>
      <c r="E192" s="471"/>
      <c r="F192" s="471"/>
      <c r="G192" s="471"/>
      <c r="H192" s="472"/>
    </row>
    <row r="193" spans="1:8" ht="20.25" customHeight="1" x14ac:dyDescent="0.2">
      <c r="A193" s="82">
        <v>183</v>
      </c>
      <c r="B193" s="470"/>
      <c r="C193" s="470"/>
      <c r="D193" s="471"/>
      <c r="E193" s="471"/>
      <c r="F193" s="471"/>
      <c r="G193" s="471"/>
      <c r="H193" s="472"/>
    </row>
    <row r="194" spans="1:8" ht="20.25" customHeight="1" x14ac:dyDescent="0.2">
      <c r="A194" s="82">
        <v>184</v>
      </c>
      <c r="B194" s="470"/>
      <c r="C194" s="470"/>
      <c r="D194" s="471"/>
      <c r="E194" s="471"/>
      <c r="F194" s="471"/>
      <c r="G194" s="471"/>
      <c r="H194" s="472"/>
    </row>
    <row r="195" spans="1:8" ht="20.25" customHeight="1" x14ac:dyDescent="0.2">
      <c r="A195" s="82">
        <v>185</v>
      </c>
      <c r="B195" s="470"/>
      <c r="C195" s="470"/>
      <c r="D195" s="471"/>
      <c r="E195" s="471"/>
      <c r="F195" s="471"/>
      <c r="G195" s="471"/>
      <c r="H195" s="472"/>
    </row>
    <row r="196" spans="1:8" ht="20.25" customHeight="1" x14ac:dyDescent="0.2">
      <c r="A196" s="82">
        <v>186</v>
      </c>
      <c r="B196" s="470"/>
      <c r="C196" s="470"/>
      <c r="D196" s="471"/>
      <c r="E196" s="471"/>
      <c r="F196" s="471"/>
      <c r="G196" s="471"/>
      <c r="H196" s="472"/>
    </row>
    <row r="197" spans="1:8" ht="20.25" customHeight="1" x14ac:dyDescent="0.2">
      <c r="A197" s="82">
        <v>187</v>
      </c>
      <c r="B197" s="470"/>
      <c r="C197" s="470"/>
      <c r="D197" s="471"/>
      <c r="E197" s="471"/>
      <c r="F197" s="471"/>
      <c r="G197" s="471"/>
      <c r="H197" s="472"/>
    </row>
    <row r="198" spans="1:8" ht="20.25" customHeight="1" x14ac:dyDescent="0.2">
      <c r="A198" s="82">
        <v>188</v>
      </c>
      <c r="B198" s="470"/>
      <c r="C198" s="470"/>
      <c r="D198" s="471"/>
      <c r="E198" s="471"/>
      <c r="F198" s="471"/>
      <c r="G198" s="471"/>
      <c r="H198" s="472"/>
    </row>
    <row r="199" spans="1:8" ht="20.25" customHeight="1" x14ac:dyDescent="0.2">
      <c r="A199" s="82">
        <v>189</v>
      </c>
      <c r="B199" s="470"/>
      <c r="C199" s="470"/>
      <c r="D199" s="471"/>
      <c r="E199" s="471"/>
      <c r="F199" s="471"/>
      <c r="G199" s="471"/>
      <c r="H199" s="472"/>
    </row>
    <row r="200" spans="1:8" ht="20.25" customHeight="1" x14ac:dyDescent="0.2">
      <c r="A200" s="82">
        <v>190</v>
      </c>
      <c r="B200" s="470"/>
      <c r="C200" s="470"/>
      <c r="D200" s="471"/>
      <c r="E200" s="471"/>
      <c r="F200" s="471"/>
      <c r="G200" s="471"/>
      <c r="H200" s="472"/>
    </row>
    <row r="201" spans="1:8" ht="20.25" customHeight="1" x14ac:dyDescent="0.2">
      <c r="A201" s="82">
        <v>191</v>
      </c>
      <c r="B201" s="470"/>
      <c r="C201" s="470"/>
      <c r="D201" s="471"/>
      <c r="E201" s="471"/>
      <c r="F201" s="471"/>
      <c r="G201" s="471"/>
      <c r="H201" s="472"/>
    </row>
    <row r="202" spans="1:8" ht="20.25" customHeight="1" x14ac:dyDescent="0.2">
      <c r="A202" s="82">
        <v>192</v>
      </c>
      <c r="B202" s="470"/>
      <c r="C202" s="470"/>
      <c r="D202" s="471"/>
      <c r="E202" s="471"/>
      <c r="F202" s="471"/>
      <c r="G202" s="471"/>
      <c r="H202" s="472"/>
    </row>
    <row r="203" spans="1:8" ht="20.25" customHeight="1" x14ac:dyDescent="0.2">
      <c r="A203" s="82">
        <v>193</v>
      </c>
      <c r="B203" s="470"/>
      <c r="C203" s="470"/>
      <c r="D203" s="471"/>
      <c r="E203" s="471"/>
      <c r="F203" s="471"/>
      <c r="G203" s="471"/>
      <c r="H203" s="472"/>
    </row>
    <row r="204" spans="1:8" ht="20.25" customHeight="1" x14ac:dyDescent="0.2">
      <c r="A204" s="82">
        <v>194</v>
      </c>
      <c r="B204" s="470"/>
      <c r="C204" s="470"/>
      <c r="D204" s="471"/>
      <c r="E204" s="471"/>
      <c r="F204" s="471"/>
      <c r="G204" s="471"/>
      <c r="H204" s="472"/>
    </row>
    <row r="205" spans="1:8" ht="20.25" customHeight="1" x14ac:dyDescent="0.2">
      <c r="A205" s="82">
        <v>195</v>
      </c>
      <c r="B205" s="470"/>
      <c r="C205" s="470"/>
      <c r="D205" s="471"/>
      <c r="E205" s="471"/>
      <c r="F205" s="471"/>
      <c r="G205" s="471"/>
      <c r="H205" s="472"/>
    </row>
    <row r="206" spans="1:8" ht="20.25" customHeight="1" x14ac:dyDescent="0.2">
      <c r="A206" s="82">
        <v>196</v>
      </c>
      <c r="B206" s="470"/>
      <c r="C206" s="470"/>
      <c r="D206" s="471"/>
      <c r="E206" s="471"/>
      <c r="F206" s="471"/>
      <c r="G206" s="471"/>
      <c r="H206" s="472"/>
    </row>
    <row r="207" spans="1:8" ht="20.25" customHeight="1" x14ac:dyDescent="0.2">
      <c r="A207" s="82">
        <v>197</v>
      </c>
      <c r="B207" s="470"/>
      <c r="C207" s="470"/>
      <c r="D207" s="471"/>
      <c r="E207" s="471"/>
      <c r="F207" s="471"/>
      <c r="G207" s="471"/>
      <c r="H207" s="472"/>
    </row>
    <row r="208" spans="1:8" ht="20.25" customHeight="1" x14ac:dyDescent="0.2">
      <c r="A208" s="82">
        <v>198</v>
      </c>
      <c r="B208" s="470"/>
      <c r="C208" s="470"/>
      <c r="D208" s="471"/>
      <c r="E208" s="471"/>
      <c r="F208" s="471"/>
      <c r="G208" s="471"/>
      <c r="H208" s="472"/>
    </row>
    <row r="209" spans="1:8" ht="20.25" customHeight="1" x14ac:dyDescent="0.2">
      <c r="A209" s="82">
        <v>199</v>
      </c>
      <c r="B209" s="470"/>
      <c r="C209" s="470"/>
      <c r="D209" s="471"/>
      <c r="E209" s="471"/>
      <c r="F209" s="471"/>
      <c r="G209" s="471"/>
      <c r="H209" s="472"/>
    </row>
    <row r="210" spans="1:8" ht="20.25" customHeight="1" thickBot="1" x14ac:dyDescent="0.25">
      <c r="A210" s="83">
        <v>200</v>
      </c>
      <c r="B210" s="473"/>
      <c r="C210" s="473"/>
      <c r="D210" s="474"/>
      <c r="E210" s="474"/>
      <c r="F210" s="474"/>
      <c r="G210" s="474"/>
      <c r="H210" s="475"/>
    </row>
  </sheetData>
  <sheetProtection password="CC5C" sheet="1" objects="1" scenarios="1" sort="0" autoFilter="0"/>
  <sortState ref="B11:H210">
    <sortCondition ref="E11"/>
    <sortCondition ref="B11"/>
    <sortCondition ref="C11"/>
  </sortState>
  <phoneticPr fontId="0" type="noConversion"/>
  <printOptions horizontalCentered="1"/>
  <pageMargins left="0.19685039370078741" right="0.19685039370078741" top="0.19685039370078741" bottom="0.39370078740157483" header="0.51181102362204722" footer="0.51181102362204722"/>
  <pageSetup paperSize="9" orientation="portrait" horizontalDpi="1200" verticalDpi="1200" r:id="rId1"/>
  <headerFooter alignWithMargins="0"/>
  <rowBreaks count="6" manualBreakCount="6">
    <brk id="42" max="16383" man="1"/>
    <brk id="74" max="16383" man="1"/>
    <brk id="106" max="16383" man="1"/>
    <brk id="138" max="16383" man="1"/>
    <brk id="170" max="16383" man="1"/>
    <brk id="202" max="7" man="1"/>
  </rowBreaks>
  <drawing r:id="rId2"/>
  <legacyDrawing r:id="rId3"/>
  <controls>
    <mc:AlternateContent xmlns:mc="http://schemas.openxmlformats.org/markup-compatibility/2006">
      <mc:Choice Requires="x14">
        <control shapeId="4105" r:id="rId4" name="Label1">
          <controlPr defaultSize="0" print="0" autoLine="0" r:id="rId5">
            <anchor moveWithCells="1" sizeWithCells="1">
              <from>
                <xdr:col>7</xdr:col>
                <xdr:colOff>361950</xdr:colOff>
                <xdr:row>0</xdr:row>
                <xdr:rowOff>0</xdr:rowOff>
              </from>
              <to>
                <xdr:col>8</xdr:col>
                <xdr:colOff>0</xdr:colOff>
                <xdr:row>0</xdr:row>
                <xdr:rowOff>152400</xdr:rowOff>
              </to>
            </anchor>
          </controlPr>
        </control>
      </mc:Choice>
      <mc:Fallback>
        <control shapeId="4105" r:id="rId4" name="Label1"/>
      </mc:Fallback>
    </mc:AlternateContent>
    <mc:AlternateContent xmlns:mc="http://schemas.openxmlformats.org/markup-compatibility/2006">
      <mc:Choice Requires="x14">
        <control shapeId="4104" r:id="rId6" name="Si_Sort_RangLista">
          <controlPr locked="0" defaultSize="0" print="0" autoLine="0" r:id="rId7">
            <anchor moveWithCells="1" sizeWithCells="1">
              <from>
                <xdr:col>7</xdr:col>
                <xdr:colOff>361950</xdr:colOff>
                <xdr:row>1</xdr:row>
                <xdr:rowOff>180975</xdr:rowOff>
              </from>
              <to>
                <xdr:col>8</xdr:col>
                <xdr:colOff>0</xdr:colOff>
                <xdr:row>3</xdr:row>
                <xdr:rowOff>19050</xdr:rowOff>
              </to>
            </anchor>
          </controlPr>
        </control>
      </mc:Choice>
      <mc:Fallback>
        <control shapeId="4104" r:id="rId6" name="Si_Sort_RangLista"/>
      </mc:Fallback>
    </mc:AlternateContent>
    <mc:AlternateContent xmlns:mc="http://schemas.openxmlformats.org/markup-compatibility/2006">
      <mc:Choice Requires="x14">
        <control shapeId="4103" r:id="rId8" name="Si_Sort_Klub">
          <controlPr locked="0" defaultSize="0" print="0" autoLine="0" r:id="rId9">
            <anchor moveWithCells="1" sizeWithCells="1">
              <from>
                <xdr:col>7</xdr:col>
                <xdr:colOff>361950</xdr:colOff>
                <xdr:row>1</xdr:row>
                <xdr:rowOff>19050</xdr:rowOff>
              </from>
              <to>
                <xdr:col>8</xdr:col>
                <xdr:colOff>0</xdr:colOff>
                <xdr:row>2</xdr:row>
                <xdr:rowOff>28575</xdr:rowOff>
              </to>
            </anchor>
          </controlPr>
        </control>
      </mc:Choice>
      <mc:Fallback>
        <control shapeId="4103" r:id="rId8" name="Si_Sort_Klub"/>
      </mc:Fallback>
    </mc:AlternateContent>
    <mc:AlternateContent xmlns:mc="http://schemas.openxmlformats.org/markup-compatibility/2006">
      <mc:Choice Requires="x14">
        <control shapeId="4102" r:id="rId10" name="Si_Sort_Prezime">
          <controlPr locked="0" defaultSize="0" print="0" autoLine="0" r:id="rId11">
            <anchor moveWithCells="1" sizeWithCells="1">
              <from>
                <xdr:col>7</xdr:col>
                <xdr:colOff>361950</xdr:colOff>
                <xdr:row>0</xdr:row>
                <xdr:rowOff>142875</xdr:rowOff>
              </from>
              <to>
                <xdr:col>8</xdr:col>
                <xdr:colOff>0</xdr:colOff>
                <xdr:row>1</xdr:row>
                <xdr:rowOff>57150</xdr:rowOff>
              </to>
            </anchor>
          </controlPr>
        </control>
      </mc:Choice>
      <mc:Fallback>
        <control shapeId="4102" r:id="rId10" name="Si_Sort_Prezime"/>
      </mc:Fallback>
    </mc:AlternateContent>
    <mc:AlternateContent xmlns:mc="http://schemas.openxmlformats.org/markup-compatibility/2006">
      <mc:Choice Requires="x14">
        <control shapeId="4116" r:id="rId12" name="Button 20">
          <controlPr defaultSize="0" print="0" autoFill="0" autoLine="0" autoPict="0" macro="[0]!Prenesi_u_GT_Click">
            <anchor>
              <from>
                <xdr:col>4</xdr:col>
                <xdr:colOff>152400</xdr:colOff>
                <xdr:row>0</xdr:row>
                <xdr:rowOff>0</xdr:rowOff>
              </from>
              <to>
                <xdr:col>5</xdr:col>
                <xdr:colOff>504825</xdr:colOff>
                <xdr:row>2</xdr:row>
                <xdr:rowOff>66675</xdr:rowOff>
              </to>
            </anchor>
          </controlPr>
        </control>
      </mc:Choice>
    </mc:AlternateContent>
    <mc:AlternateContent xmlns:mc="http://schemas.openxmlformats.org/markup-compatibility/2006">
      <mc:Choice Requires="x14">
        <control shapeId="4118" r:id="rId13" name="Button 22">
          <controlPr defaultSize="0" print="0" autoFill="0" autoLine="0" autoPict="0" macro="[0]!Dodaj_u_GT_Click">
            <anchor>
              <from>
                <xdr:col>4</xdr:col>
                <xdr:colOff>152400</xdr:colOff>
                <xdr:row>2</xdr:row>
                <xdr:rowOff>76200</xdr:rowOff>
              </from>
              <to>
                <xdr:col>5</xdr:col>
                <xdr:colOff>504825</xdr:colOff>
                <xdr:row>5</xdr:row>
                <xdr:rowOff>104775</xdr:rowOff>
              </to>
            </anchor>
          </controlPr>
        </control>
      </mc:Choice>
    </mc:AlternateContent>
    <mc:AlternateContent xmlns:mc="http://schemas.openxmlformats.org/markup-compatibility/2006">
      <mc:Choice Requires="x14">
        <control shapeId="4129" r:id="rId14" name="Button 33">
          <controlPr defaultSize="0" print="0" autoFill="0" autoLine="0" autoPict="0" macro="[0]!Prenesi_u_Q_Click">
            <anchor>
              <from>
                <xdr:col>5</xdr:col>
                <xdr:colOff>542925</xdr:colOff>
                <xdr:row>0</xdr:row>
                <xdr:rowOff>0</xdr:rowOff>
              </from>
              <to>
                <xdr:col>7</xdr:col>
                <xdr:colOff>314325</xdr:colOff>
                <xdr:row>2</xdr:row>
                <xdr:rowOff>66675</xdr:rowOff>
              </to>
            </anchor>
          </controlPr>
        </control>
      </mc:Choice>
    </mc:AlternateContent>
    <mc:AlternateContent xmlns:mc="http://schemas.openxmlformats.org/markup-compatibility/2006">
      <mc:Choice Requires="x14">
        <control shapeId="4130" r:id="rId15" name="Button 34">
          <controlPr defaultSize="0" print="0" autoFill="0" autoLine="0" autoPict="0" macro="[0]!Dodaj_u_Q_Click">
            <anchor>
              <from>
                <xdr:col>5</xdr:col>
                <xdr:colOff>542925</xdr:colOff>
                <xdr:row>2</xdr:row>
                <xdr:rowOff>76200</xdr:rowOff>
              </from>
              <to>
                <xdr:col>7</xdr:col>
                <xdr:colOff>314325</xdr:colOff>
                <xdr:row>5</xdr:row>
                <xdr:rowOff>104775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301" enableFormatConditionsCalculation="0">
    <tabColor indexed="19"/>
  </sheetPr>
  <dimension ref="A1:R91"/>
  <sheetViews>
    <sheetView showGridLines="0" showRowColHeaders="0" showZeros="0" view="pageBreakPreview" zoomScaleNormal="100" workbookViewId="0">
      <pane ySplit="10" topLeftCell="A17" activePane="bottomLeft" state="frozenSplit"/>
      <selection activeCell="D18" sqref="D18"/>
      <selection pane="bottomLeft" activeCell="H17" sqref="H17"/>
    </sheetView>
  </sheetViews>
  <sheetFormatPr defaultRowHeight="12.75" x14ac:dyDescent="0.2"/>
  <cols>
    <col min="1" max="1" width="3.7109375" style="14" customWidth="1"/>
    <col min="2" max="2" width="20.7109375" style="14" customWidth="1"/>
    <col min="3" max="3" width="15.7109375" style="14" customWidth="1"/>
    <col min="4" max="7" width="8.7109375" style="14" customWidth="1"/>
    <col min="8" max="8" width="20.7109375" style="14" customWidth="1"/>
    <col min="9" max="9" width="9.140625" style="14"/>
    <col min="10" max="10" width="9.140625" style="14" hidden="1" customWidth="1"/>
    <col min="11" max="11" width="15.7109375" style="14" hidden="1" customWidth="1"/>
    <col min="12" max="14" width="9.140625" style="14" hidden="1" customWidth="1"/>
    <col min="15" max="15" width="15.7109375" style="14" hidden="1" customWidth="1"/>
    <col min="16" max="16384" width="9.140625" style="14"/>
  </cols>
  <sheetData>
    <row r="1" spans="1:18" ht="22.5" x14ac:dyDescent="0.3">
      <c r="A1" s="11" t="str">
        <f>Pocetna!$B$7</f>
        <v xml:space="preserve">OP SAMOBORA </v>
      </c>
      <c r="B1" s="12"/>
      <c r="C1" s="12"/>
      <c r="D1" s="12"/>
      <c r="E1" s="12"/>
      <c r="F1" s="13"/>
      <c r="G1" s="13"/>
      <c r="H1" s="272"/>
      <c r="I1" s="13"/>
      <c r="J1" s="13"/>
      <c r="K1" s="13"/>
      <c r="L1" s="13"/>
      <c r="M1" s="13"/>
      <c r="N1" s="130" t="s">
        <v>79</v>
      </c>
      <c r="O1" s="13"/>
      <c r="P1" s="13"/>
      <c r="Q1" s="13"/>
      <c r="R1" s="13"/>
    </row>
    <row r="2" spans="1:18" ht="15" x14ac:dyDescent="0.2">
      <c r="A2" s="39" t="str">
        <f>Pocetna!$B$10</f>
        <v>dječaci do 12 god.</v>
      </c>
      <c r="B2" s="39"/>
      <c r="C2" s="39"/>
      <c r="D2" s="39"/>
      <c r="E2" s="39"/>
      <c r="F2" s="13"/>
      <c r="G2" s="13"/>
      <c r="H2" s="272"/>
      <c r="I2" s="15"/>
      <c r="K2" s="15"/>
      <c r="M2" s="15"/>
      <c r="N2" s="131" t="s">
        <v>80</v>
      </c>
      <c r="O2" s="13"/>
      <c r="P2" s="13"/>
      <c r="Q2" s="13"/>
      <c r="R2" s="16"/>
    </row>
    <row r="3" spans="1:18" ht="13.5" customHeight="1" x14ac:dyDescent="0.2">
      <c r="A3" s="39"/>
      <c r="B3" s="39"/>
      <c r="C3" s="39"/>
      <c r="D3" s="73" t="s">
        <v>168</v>
      </c>
      <c r="E3" s="39"/>
      <c r="F3" s="13"/>
      <c r="G3" s="13"/>
      <c r="H3" s="13"/>
      <c r="I3" s="15"/>
      <c r="J3" s="84"/>
      <c r="K3" s="85"/>
      <c r="L3" s="86"/>
      <c r="M3" s="85"/>
      <c r="N3" s="132" t="s">
        <v>81</v>
      </c>
      <c r="O3" s="13"/>
      <c r="P3" s="13"/>
      <c r="Q3" s="13"/>
      <c r="R3" s="16"/>
    </row>
    <row r="4" spans="1:18" ht="13.5" customHeight="1" x14ac:dyDescent="0.2">
      <c r="A4" s="17"/>
      <c r="B4" s="17"/>
      <c r="C4" s="17"/>
      <c r="D4" s="73" t="s">
        <v>169</v>
      </c>
      <c r="E4" s="17"/>
      <c r="F4" s="17"/>
      <c r="G4" s="41"/>
      <c r="H4" s="41" t="str">
        <f>Pocetna!$F$11</f>
        <v>Vrhovni sudac</v>
      </c>
      <c r="I4" s="17"/>
      <c r="J4" s="87" t="s">
        <v>65</v>
      </c>
      <c r="K4" s="88" t="str">
        <f>"Broj nositelja:"&amp;" "&amp;IF(64-COUNTBLANK($B$11:$B$74)&lt;=39,"Kostur 32 ili manji",IF(64-COUNTBLANK($B$11:$B$74)=40,"8",IF(64-COUNTBLANK($B$11:$B$74)&lt;=64,"16","greška")))</f>
        <v>Broj nositelja: Kostur 32 ili manji</v>
      </c>
      <c r="L4" s="89"/>
      <c r="M4" s="88"/>
      <c r="N4" s="132" t="s">
        <v>82</v>
      </c>
      <c r="O4" s="15"/>
      <c r="P4" s="15"/>
      <c r="Q4" s="15"/>
      <c r="R4" s="18"/>
    </row>
    <row r="5" spans="1:18" ht="13.5" customHeight="1" thickBot="1" x14ac:dyDescent="0.25">
      <c r="A5" s="40" t="str">
        <f>Pocetna!$B$11</f>
        <v>Datum turnira</v>
      </c>
      <c r="B5" s="40"/>
      <c r="C5" s="40" t="str">
        <f>Pocetna!$D$11</f>
        <v>Organizator</v>
      </c>
      <c r="D5" s="40"/>
      <c r="E5" s="40" t="str">
        <f>Pocetna!$E$11</f>
        <v>Mjesto</v>
      </c>
      <c r="F5" s="40"/>
      <c r="G5" s="37"/>
      <c r="H5" s="37" t="str">
        <f>Pocetna!$F$12</f>
        <v>Mladen Šančić</v>
      </c>
      <c r="J5" s="90" t="s">
        <v>72</v>
      </c>
      <c r="K5" s="88" t="str">
        <f>"Broj nositelja:"&amp;" "&amp;IF(40-COUNTBLANK($B$11:$B$50)-COUNTIF($B$11:$B$50,"bye")&lt;=10,"2",IF(40-COUNTBLANK($B$11:$B$50)-COUNTIF($B$11:$B$50,"bye")&lt;=20,"4",IF(40-COUNTBLANK($B$11:$B$50)-COUNTIF($B$11:$B$50,"bye")&lt;=40,"8","greška")))</f>
        <v>Broj nositelja: 8</v>
      </c>
      <c r="L5" s="89" t="str">
        <f>IF(40-COUNTBLANK($B$11:$B$50)-COUNTIF($B$11:$B$50,"bye")&lt;=10,"2",IF(40-COUNTBLANK($B$11:$B$50)-COUNTIF($B$11:$B$50,"bye")&lt;=20,"4",IF(40-COUNTBLANK($B$11:$B$50)-COUNTIF($B$11:$B$50,"bye")&lt;=40,"8","greška")))</f>
        <v>8</v>
      </c>
      <c r="M5" s="89"/>
      <c r="N5" s="133" t="s">
        <v>83</v>
      </c>
    </row>
    <row r="6" spans="1:18" ht="13.5" customHeight="1" thickBot="1" x14ac:dyDescent="0.25">
      <c r="A6" s="42" t="str">
        <f>Pocetna!$B$12</f>
        <v>(22.)24.-26.04.2016.</v>
      </c>
      <c r="B6" s="42"/>
      <c r="C6" s="42" t="str">
        <f>Pocetna!$D$12</f>
        <v>TK Samobor1890</v>
      </c>
      <c r="D6" s="42"/>
      <c r="E6" s="42" t="str">
        <f>Pocetna!$E$12</f>
        <v>Samobor</v>
      </c>
      <c r="F6" s="42"/>
      <c r="G6" s="74" t="s">
        <v>20</v>
      </c>
      <c r="H6" s="72"/>
      <c r="J6" s="91"/>
      <c r="K6" s="88" t="str">
        <f>"Rang turnira:"&amp;" "&amp;$M$7</f>
        <v>Rang turnira: 7. rang</v>
      </c>
      <c r="L6" s="92"/>
      <c r="M6" s="93"/>
      <c r="N6" s="93"/>
    </row>
    <row r="7" spans="1:18" ht="13.5" customHeight="1" thickBot="1" x14ac:dyDescent="0.25">
      <c r="A7" s="40" t="str">
        <f>Pocetna!$C$11</f>
        <v>ID turnira</v>
      </c>
      <c r="B7" s="40"/>
      <c r="C7" s="40" t="str">
        <f>Pocetna!$B$15</f>
        <v>Rang turnira</v>
      </c>
      <c r="D7" s="40"/>
      <c r="E7" s="40"/>
      <c r="F7" s="76"/>
      <c r="G7" s="77"/>
      <c r="H7" s="78"/>
      <c r="J7" s="94"/>
      <c r="K7" s="95" t="s">
        <v>71</v>
      </c>
      <c r="L7" s="96" t="str">
        <f>IF(AND(L8&gt;0,L8&lt;=5.5),"7. rang",IF(AND(L8&gt;=6,L8&lt;=8.5),"6. rang",IF(AND(L8&gt;=9,L8&lt;=11.5),"5. rang",IF(AND(L8&gt;=12,L8&lt;=14.5),"4. rang",IF(L8&gt;=15,"3. rang","")))))</f>
        <v>7. rang</v>
      </c>
      <c r="M7" s="96" t="str">
        <f>IF($E$11=0,"X",L7)</f>
        <v>7. rang</v>
      </c>
      <c r="N7" s="97"/>
    </row>
    <row r="8" spans="1:18" ht="13.5" customHeight="1" thickBot="1" x14ac:dyDescent="0.25">
      <c r="A8" s="42" t="str">
        <f>Pocetna!$C$12</f>
        <v>R12_20160422_SAM</v>
      </c>
      <c r="B8" s="38"/>
      <c r="C8" s="42" t="str">
        <f>Pocetna!$B$16</f>
        <v>4. rang</v>
      </c>
      <c r="D8" s="19"/>
      <c r="E8" s="19"/>
      <c r="F8" s="76" t="str">
        <f>$K$5</f>
        <v>Broj nositelja: 8</v>
      </c>
      <c r="G8" s="77"/>
      <c r="H8" s="78"/>
      <c r="J8" s="98"/>
      <c r="K8" s="93" t="s">
        <v>66</v>
      </c>
      <c r="L8" s="99">
        <f>SUM(L9:N9)</f>
        <v>5.5</v>
      </c>
      <c r="M8" s="100">
        <f>2*COUNTIF(L11:L49,"&gt;0")+1*COUNTIF(M11:M49,"&gt;0")+0.5*COUNTIF(N11:N49,"&gt;0")</f>
        <v>5.5</v>
      </c>
      <c r="N8" s="101" t="s">
        <v>67</v>
      </c>
    </row>
    <row r="9" spans="1:18" ht="13.5" hidden="1" customHeight="1" thickBot="1" x14ac:dyDescent="0.25">
      <c r="A9" s="42"/>
      <c r="B9" s="38"/>
      <c r="C9" s="42"/>
      <c r="D9" s="19"/>
      <c r="E9" s="19"/>
      <c r="G9" s="79"/>
      <c r="H9" s="80"/>
      <c r="J9" s="98"/>
      <c r="K9" s="102"/>
      <c r="L9" s="30">
        <f>SUM(L11:L49)</f>
        <v>2</v>
      </c>
      <c r="M9" s="30">
        <f>SUM(M11:M49)</f>
        <v>3</v>
      </c>
      <c r="N9" s="103">
        <f>SUM(N11:N49)</f>
        <v>0.5</v>
      </c>
    </row>
    <row r="10" spans="1:18" ht="30" customHeight="1" thickBot="1" x14ac:dyDescent="0.25">
      <c r="A10" s="261" t="s">
        <v>61</v>
      </c>
      <c r="B10" s="75" t="s">
        <v>55</v>
      </c>
      <c r="C10" s="75" t="s">
        <v>56</v>
      </c>
      <c r="D10" s="75" t="s">
        <v>1</v>
      </c>
      <c r="E10" s="75" t="s">
        <v>76</v>
      </c>
      <c r="F10" s="75" t="s">
        <v>57</v>
      </c>
      <c r="G10" s="268" t="s">
        <v>112</v>
      </c>
      <c r="H10" s="262" t="s">
        <v>73</v>
      </c>
      <c r="J10" s="104"/>
      <c r="K10" s="105"/>
      <c r="L10" s="106" t="s">
        <v>68</v>
      </c>
      <c r="M10" s="106" t="s">
        <v>69</v>
      </c>
      <c r="N10" s="107" t="s">
        <v>70</v>
      </c>
      <c r="O10" s="108" t="s">
        <v>34</v>
      </c>
    </row>
    <row r="11" spans="1:18" ht="20.25" customHeight="1" x14ac:dyDescent="0.2">
      <c r="A11" s="81">
        <v>1</v>
      </c>
      <c r="B11" s="476" t="s">
        <v>351</v>
      </c>
      <c r="C11" s="476" t="s">
        <v>352</v>
      </c>
      <c r="D11" s="477" t="s">
        <v>316</v>
      </c>
      <c r="E11" s="477">
        <v>9</v>
      </c>
      <c r="F11" s="477" t="s">
        <v>79</v>
      </c>
      <c r="G11" s="471">
        <v>1</v>
      </c>
      <c r="H11" s="472"/>
      <c r="J11" s="109">
        <f>$E11</f>
        <v>9</v>
      </c>
      <c r="K11" s="110" t="str">
        <f>IF(OR(B11&gt;0,C11&gt;0),PROPER(C11)&amp;" "&amp;UPPER(B11)&amp;" ("&amp;D11&amp;")","")</f>
        <v>Noa VUKADIN (VUL)</v>
      </c>
      <c r="L11" s="109">
        <f>IF($J11&gt;=1,IF($J11&lt;=10,2,IF($J11="MR",2,0)),0)</f>
        <v>2</v>
      </c>
      <c r="M11" s="109">
        <f t="shared" ref="M11:M50" si="0">IF($J11&gt;=11,IF($J11&lt;=20,1,0),0)</f>
        <v>0</v>
      </c>
      <c r="N11" s="109">
        <f t="shared" ref="N11:N50" si="1">IF($J11&gt;=21,IF($J11&lt;=30,0.5,0),0)</f>
        <v>0</v>
      </c>
      <c r="O11" s="453" t="s">
        <v>442</v>
      </c>
    </row>
    <row r="12" spans="1:18" ht="20.25" customHeight="1" x14ac:dyDescent="0.2">
      <c r="A12" s="82">
        <v>2</v>
      </c>
      <c r="B12" s="476" t="s">
        <v>353</v>
      </c>
      <c r="C12" s="476" t="s">
        <v>354</v>
      </c>
      <c r="D12" s="477" t="s">
        <v>94</v>
      </c>
      <c r="E12" s="547">
        <v>13</v>
      </c>
      <c r="F12" s="477" t="s">
        <v>79</v>
      </c>
      <c r="G12" s="541">
        <v>2</v>
      </c>
      <c r="H12" s="472"/>
      <c r="J12" s="109">
        <f t="shared" ref="J12:J50" si="2">$E12</f>
        <v>13</v>
      </c>
      <c r="K12" s="112" t="str">
        <f t="shared" ref="K12:K50" si="3">IF(OR(B12&gt;0,C12&gt;0),PROPER(C12)&amp;" "&amp;UPPER(B12)&amp;" ("&amp;D12&amp;")","")</f>
        <v>Lovro MAJCAN (SAM)</v>
      </c>
      <c r="L12" s="109">
        <f t="shared" ref="L12:L50" si="4">IF($J12&gt;=1,IF($J12&lt;=10,2,IF($J12="MR",2,0)),0)</f>
        <v>0</v>
      </c>
      <c r="M12" s="109">
        <f t="shared" si="0"/>
        <v>1</v>
      </c>
      <c r="N12" s="109">
        <f t="shared" si="1"/>
        <v>0</v>
      </c>
      <c r="O12" s="454" t="s">
        <v>535</v>
      </c>
    </row>
    <row r="13" spans="1:18" ht="20.25" customHeight="1" x14ac:dyDescent="0.2">
      <c r="A13" s="82">
        <v>3</v>
      </c>
      <c r="B13" s="476" t="s">
        <v>355</v>
      </c>
      <c r="C13" s="476" t="s">
        <v>356</v>
      </c>
      <c r="D13" s="477" t="s">
        <v>316</v>
      </c>
      <c r="E13" s="547">
        <v>17</v>
      </c>
      <c r="F13" s="477" t="s">
        <v>79</v>
      </c>
      <c r="G13" s="547">
        <v>3</v>
      </c>
      <c r="H13" s="472"/>
      <c r="J13" s="109">
        <f t="shared" si="2"/>
        <v>17</v>
      </c>
      <c r="K13" s="112" t="str">
        <f t="shared" si="3"/>
        <v>Luka DOŠEN (VUL)</v>
      </c>
      <c r="L13" s="109">
        <f t="shared" si="4"/>
        <v>0</v>
      </c>
      <c r="M13" s="109">
        <f t="shared" si="0"/>
        <v>1</v>
      </c>
      <c r="N13" s="109">
        <f t="shared" si="1"/>
        <v>0</v>
      </c>
      <c r="O13" s="454" t="s">
        <v>443</v>
      </c>
    </row>
    <row r="14" spans="1:18" ht="20.25" customHeight="1" x14ac:dyDescent="0.2">
      <c r="A14" s="82">
        <v>4</v>
      </c>
      <c r="B14" s="476" t="s">
        <v>357</v>
      </c>
      <c r="C14" s="476" t="s">
        <v>358</v>
      </c>
      <c r="D14" s="477" t="s">
        <v>89</v>
      </c>
      <c r="E14" s="547">
        <v>18</v>
      </c>
      <c r="F14" s="477" t="s">
        <v>79</v>
      </c>
      <c r="G14" s="471">
        <v>4</v>
      </c>
      <c r="H14" s="472"/>
      <c r="J14" s="109">
        <f t="shared" si="2"/>
        <v>18</v>
      </c>
      <c r="K14" s="112" t="str">
        <f t="shared" si="3"/>
        <v>Viktor BOBAN (MDV)</v>
      </c>
      <c r="L14" s="109">
        <f t="shared" si="4"/>
        <v>0</v>
      </c>
      <c r="M14" s="109">
        <f t="shared" si="0"/>
        <v>1</v>
      </c>
      <c r="N14" s="109">
        <f t="shared" si="1"/>
        <v>0</v>
      </c>
      <c r="O14" s="454" t="s">
        <v>444</v>
      </c>
    </row>
    <row r="15" spans="1:18" ht="20.25" customHeight="1" x14ac:dyDescent="0.2">
      <c r="A15" s="82">
        <v>5</v>
      </c>
      <c r="B15" s="476" t="s">
        <v>359</v>
      </c>
      <c r="C15" s="476" t="s">
        <v>360</v>
      </c>
      <c r="D15" s="477" t="s">
        <v>316</v>
      </c>
      <c r="E15" s="477">
        <v>30</v>
      </c>
      <c r="F15" s="477" t="s">
        <v>79</v>
      </c>
      <c r="G15" s="471">
        <v>5</v>
      </c>
      <c r="H15" s="472"/>
      <c r="J15" s="109">
        <f t="shared" si="2"/>
        <v>30</v>
      </c>
      <c r="K15" s="112" t="str">
        <f t="shared" si="3"/>
        <v>Daniel ŠKREB (VUL)</v>
      </c>
      <c r="L15" s="109">
        <f t="shared" si="4"/>
        <v>0</v>
      </c>
      <c r="M15" s="109">
        <f t="shared" si="0"/>
        <v>0</v>
      </c>
      <c r="N15" s="109">
        <f t="shared" si="1"/>
        <v>0.5</v>
      </c>
      <c r="O15" s="454" t="s">
        <v>445</v>
      </c>
    </row>
    <row r="16" spans="1:18" ht="20.25" customHeight="1" x14ac:dyDescent="0.2">
      <c r="A16" s="82">
        <v>6</v>
      </c>
      <c r="B16" s="476" t="s">
        <v>361</v>
      </c>
      <c r="C16" s="476" t="s">
        <v>362</v>
      </c>
      <c r="D16" s="477" t="s">
        <v>97</v>
      </c>
      <c r="E16" s="541">
        <v>36</v>
      </c>
      <c r="F16" s="477" t="s">
        <v>79</v>
      </c>
      <c r="G16" s="471">
        <v>6</v>
      </c>
      <c r="H16" s="472"/>
      <c r="J16" s="109">
        <f t="shared" si="2"/>
        <v>36</v>
      </c>
      <c r="K16" s="112" t="str">
        <f t="shared" si="3"/>
        <v>Erik NIKOLIĆ (ZGI)</v>
      </c>
      <c r="L16" s="109">
        <f t="shared" si="4"/>
        <v>0</v>
      </c>
      <c r="M16" s="109">
        <f t="shared" si="0"/>
        <v>0</v>
      </c>
      <c r="N16" s="109">
        <f t="shared" si="1"/>
        <v>0</v>
      </c>
      <c r="O16" s="454" t="s">
        <v>446</v>
      </c>
    </row>
    <row r="17" spans="1:15" ht="20.25" customHeight="1" x14ac:dyDescent="0.2">
      <c r="A17" s="82">
        <v>7</v>
      </c>
      <c r="B17" s="476" t="s">
        <v>365</v>
      </c>
      <c r="C17" s="476" t="s">
        <v>366</v>
      </c>
      <c r="D17" s="477" t="s">
        <v>91</v>
      </c>
      <c r="E17" s="547">
        <v>42</v>
      </c>
      <c r="F17" s="477" t="s">
        <v>79</v>
      </c>
      <c r="G17" s="541">
        <v>7</v>
      </c>
      <c r="H17" s="472"/>
      <c r="J17" s="109">
        <f t="shared" si="2"/>
        <v>42</v>
      </c>
      <c r="K17" s="112" t="str">
        <f t="shared" si="3"/>
        <v>Dorian SALOPEK (OG)</v>
      </c>
      <c r="L17" s="109">
        <f t="shared" si="4"/>
        <v>0</v>
      </c>
      <c r="M17" s="109">
        <f t="shared" si="0"/>
        <v>0</v>
      </c>
      <c r="N17" s="109">
        <f t="shared" si="1"/>
        <v>0</v>
      </c>
      <c r="O17" s="454" t="s">
        <v>536</v>
      </c>
    </row>
    <row r="18" spans="1:15" ht="20.25" customHeight="1" x14ac:dyDescent="0.2">
      <c r="A18" s="82">
        <v>8</v>
      </c>
      <c r="B18" s="550" t="s">
        <v>367</v>
      </c>
      <c r="C18" s="550" t="s">
        <v>368</v>
      </c>
      <c r="D18" s="160" t="s">
        <v>322</v>
      </c>
      <c r="E18" s="545">
        <v>44</v>
      </c>
      <c r="F18" s="160" t="s">
        <v>81</v>
      </c>
      <c r="G18" s="545">
        <v>8</v>
      </c>
      <c r="H18" s="546"/>
      <c r="J18" s="109">
        <f t="shared" si="2"/>
        <v>44</v>
      </c>
      <c r="K18" s="112" t="str">
        <f t="shared" si="3"/>
        <v>Karlo NOTHIG (ITE)</v>
      </c>
      <c r="L18" s="109">
        <f t="shared" si="4"/>
        <v>0</v>
      </c>
      <c r="M18" s="109">
        <f t="shared" si="0"/>
        <v>0</v>
      </c>
      <c r="N18" s="109">
        <f t="shared" si="1"/>
        <v>0</v>
      </c>
      <c r="O18" s="454" t="s">
        <v>447</v>
      </c>
    </row>
    <row r="19" spans="1:15" ht="20.25" customHeight="1" x14ac:dyDescent="0.2">
      <c r="A19" s="82">
        <v>9</v>
      </c>
      <c r="B19" s="550" t="s">
        <v>369</v>
      </c>
      <c r="C19" s="550" t="s">
        <v>370</v>
      </c>
      <c r="D19" s="160" t="s">
        <v>87</v>
      </c>
      <c r="E19" s="160">
        <v>46</v>
      </c>
      <c r="F19" s="160" t="s">
        <v>81</v>
      </c>
      <c r="G19" s="545"/>
      <c r="H19" s="546"/>
      <c r="J19" s="109">
        <f t="shared" si="2"/>
        <v>46</v>
      </c>
      <c r="K19" s="112" t="str">
        <f t="shared" si="3"/>
        <v>Josip BOBOK (IMZ)</v>
      </c>
      <c r="L19" s="109">
        <f t="shared" si="4"/>
        <v>0</v>
      </c>
      <c r="M19" s="109">
        <f t="shared" si="0"/>
        <v>0</v>
      </c>
      <c r="N19" s="109">
        <f t="shared" si="1"/>
        <v>0</v>
      </c>
      <c r="O19" s="454" t="s">
        <v>448</v>
      </c>
    </row>
    <row r="20" spans="1:15" ht="20.25" customHeight="1" x14ac:dyDescent="0.2">
      <c r="A20" s="82">
        <v>10</v>
      </c>
      <c r="B20" s="550" t="s">
        <v>371</v>
      </c>
      <c r="C20" s="550" t="s">
        <v>372</v>
      </c>
      <c r="D20" s="160" t="s">
        <v>92</v>
      </c>
      <c r="E20" s="545">
        <v>49</v>
      </c>
      <c r="F20" s="160" t="s">
        <v>81</v>
      </c>
      <c r="G20" s="545"/>
      <c r="H20" s="546"/>
      <c r="J20" s="109">
        <f t="shared" si="2"/>
        <v>49</v>
      </c>
      <c r="K20" s="112" t="str">
        <f t="shared" si="3"/>
        <v>Antonio VOLJAVEC (PON)</v>
      </c>
      <c r="L20" s="109">
        <f t="shared" si="4"/>
        <v>0</v>
      </c>
      <c r="M20" s="109">
        <f t="shared" si="0"/>
        <v>0</v>
      </c>
      <c r="N20" s="109">
        <f t="shared" si="1"/>
        <v>0</v>
      </c>
      <c r="O20" s="454" t="s">
        <v>449</v>
      </c>
    </row>
    <row r="21" spans="1:15" ht="20.25" customHeight="1" x14ac:dyDescent="0.2">
      <c r="A21" s="82">
        <v>11</v>
      </c>
      <c r="B21" s="550" t="s">
        <v>373</v>
      </c>
      <c r="C21" s="550" t="s">
        <v>374</v>
      </c>
      <c r="D21" s="160" t="s">
        <v>345</v>
      </c>
      <c r="E21" s="545">
        <v>51</v>
      </c>
      <c r="F21" s="160" t="s">
        <v>81</v>
      </c>
      <c r="G21" s="545"/>
      <c r="H21" s="546"/>
      <c r="J21" s="109">
        <f t="shared" si="2"/>
        <v>51</v>
      </c>
      <c r="K21" s="112" t="str">
        <f t="shared" si="3"/>
        <v>Domagoj ŠTABEK (TER)</v>
      </c>
      <c r="L21" s="109">
        <f t="shared" si="4"/>
        <v>0</v>
      </c>
      <c r="M21" s="109">
        <f t="shared" si="0"/>
        <v>0</v>
      </c>
      <c r="N21" s="109">
        <f t="shared" si="1"/>
        <v>0</v>
      </c>
      <c r="O21" s="454" t="s">
        <v>452</v>
      </c>
    </row>
    <row r="22" spans="1:15" ht="20.25" customHeight="1" x14ac:dyDescent="0.2">
      <c r="A22" s="82">
        <v>12</v>
      </c>
      <c r="B22" s="476" t="s">
        <v>375</v>
      </c>
      <c r="C22" s="476" t="s">
        <v>356</v>
      </c>
      <c r="D22" s="477" t="s">
        <v>92</v>
      </c>
      <c r="E22" s="547">
        <v>57</v>
      </c>
      <c r="F22" s="160" t="s">
        <v>81</v>
      </c>
      <c r="G22" s="547"/>
      <c r="H22" s="472"/>
      <c r="J22" s="109">
        <f t="shared" si="2"/>
        <v>57</v>
      </c>
      <c r="K22" s="112" t="str">
        <f t="shared" si="3"/>
        <v>Luka KRSTANOVIĆ (PON)</v>
      </c>
      <c r="L22" s="109">
        <f t="shared" si="4"/>
        <v>0</v>
      </c>
      <c r="M22" s="109">
        <f t="shared" si="0"/>
        <v>0</v>
      </c>
      <c r="N22" s="109">
        <f t="shared" si="1"/>
        <v>0</v>
      </c>
      <c r="O22" s="454" t="s">
        <v>455</v>
      </c>
    </row>
    <row r="23" spans="1:15" ht="20.25" customHeight="1" x14ac:dyDescent="0.2">
      <c r="A23" s="82">
        <v>13</v>
      </c>
      <c r="B23" s="476" t="s">
        <v>376</v>
      </c>
      <c r="C23" s="476" t="s">
        <v>377</v>
      </c>
      <c r="D23" s="477" t="s">
        <v>322</v>
      </c>
      <c r="E23" s="547">
        <v>62</v>
      </c>
      <c r="F23" s="160" t="s">
        <v>81</v>
      </c>
      <c r="G23" s="541"/>
      <c r="H23" s="472"/>
      <c r="J23" s="109">
        <f t="shared" si="2"/>
        <v>62</v>
      </c>
      <c r="K23" s="112" t="str">
        <f t="shared" si="3"/>
        <v>Filip DUBOVEČAK (ITE)</v>
      </c>
      <c r="L23" s="109">
        <f t="shared" si="4"/>
        <v>0</v>
      </c>
      <c r="M23" s="109">
        <f t="shared" si="0"/>
        <v>0</v>
      </c>
      <c r="N23" s="109">
        <f t="shared" si="1"/>
        <v>0</v>
      </c>
      <c r="O23" s="454" t="s">
        <v>456</v>
      </c>
    </row>
    <row r="24" spans="1:15" ht="20.25" customHeight="1" x14ac:dyDescent="0.2">
      <c r="A24" s="82">
        <v>14</v>
      </c>
      <c r="B24" s="476" t="s">
        <v>378</v>
      </c>
      <c r="C24" s="476" t="s">
        <v>379</v>
      </c>
      <c r="D24" s="477" t="s">
        <v>326</v>
      </c>
      <c r="E24" s="547">
        <v>63</v>
      </c>
      <c r="F24" s="160" t="s">
        <v>81</v>
      </c>
      <c r="G24" s="541"/>
      <c r="H24" s="472"/>
      <c r="J24" s="109">
        <f t="shared" si="2"/>
        <v>63</v>
      </c>
      <c r="K24" s="112" t="str">
        <f t="shared" si="3"/>
        <v>Vid MARIĆ (TSP)</v>
      </c>
      <c r="L24" s="109">
        <f t="shared" si="4"/>
        <v>0</v>
      </c>
      <c r="M24" s="109">
        <f t="shared" si="0"/>
        <v>0</v>
      </c>
      <c r="N24" s="109">
        <f t="shared" si="1"/>
        <v>0</v>
      </c>
      <c r="O24" s="454" t="s">
        <v>458</v>
      </c>
    </row>
    <row r="25" spans="1:15" ht="20.25" customHeight="1" x14ac:dyDescent="0.2">
      <c r="A25" s="82">
        <v>15</v>
      </c>
      <c r="B25" s="476" t="s">
        <v>380</v>
      </c>
      <c r="C25" s="476" t="s">
        <v>381</v>
      </c>
      <c r="D25" s="477" t="s">
        <v>345</v>
      </c>
      <c r="E25" s="547">
        <v>66</v>
      </c>
      <c r="F25" s="160" t="s">
        <v>81</v>
      </c>
      <c r="G25" s="541"/>
      <c r="H25" s="472"/>
      <c r="J25" s="109">
        <f t="shared" si="2"/>
        <v>66</v>
      </c>
      <c r="K25" s="112" t="str">
        <f t="shared" si="3"/>
        <v>Tin KRŽIĆ (TER)</v>
      </c>
      <c r="L25" s="109">
        <f t="shared" si="4"/>
        <v>0</v>
      </c>
      <c r="M25" s="109">
        <f t="shared" si="0"/>
        <v>0</v>
      </c>
      <c r="N25" s="109">
        <f t="shared" si="1"/>
        <v>0</v>
      </c>
      <c r="O25" s="454" t="s">
        <v>459</v>
      </c>
    </row>
    <row r="26" spans="1:15" ht="20.25" customHeight="1" x14ac:dyDescent="0.2">
      <c r="A26" s="82">
        <v>16</v>
      </c>
      <c r="B26" s="476" t="s">
        <v>382</v>
      </c>
      <c r="C26" s="476" t="s">
        <v>383</v>
      </c>
      <c r="D26" s="477" t="s">
        <v>322</v>
      </c>
      <c r="E26" s="547">
        <v>67</v>
      </c>
      <c r="F26" s="160" t="s">
        <v>81</v>
      </c>
      <c r="G26" s="541"/>
      <c r="H26" s="472"/>
      <c r="J26" s="109">
        <f t="shared" si="2"/>
        <v>67</v>
      </c>
      <c r="K26" s="112" t="str">
        <f t="shared" si="3"/>
        <v>Max Ivan HORVATIĆ (ITE)</v>
      </c>
      <c r="L26" s="109">
        <f t="shared" si="4"/>
        <v>0</v>
      </c>
      <c r="M26" s="109">
        <f t="shared" si="0"/>
        <v>0</v>
      </c>
      <c r="N26" s="109">
        <f t="shared" si="1"/>
        <v>0</v>
      </c>
      <c r="O26" s="454" t="s">
        <v>537</v>
      </c>
    </row>
    <row r="27" spans="1:15" ht="20.25" customHeight="1" x14ac:dyDescent="0.2">
      <c r="A27" s="82">
        <v>17</v>
      </c>
      <c r="B27" s="476" t="s">
        <v>384</v>
      </c>
      <c r="C27" s="476" t="s">
        <v>385</v>
      </c>
      <c r="D27" s="477" t="s">
        <v>89</v>
      </c>
      <c r="E27" s="547">
        <v>69</v>
      </c>
      <c r="F27" s="160" t="s">
        <v>81</v>
      </c>
      <c r="G27" s="541"/>
      <c r="H27" s="472"/>
      <c r="J27" s="109">
        <f t="shared" si="2"/>
        <v>69</v>
      </c>
      <c r="K27" s="112" t="str">
        <f t="shared" si="3"/>
        <v>Nikola ĐEREK (MDV)</v>
      </c>
      <c r="L27" s="109">
        <f t="shared" si="4"/>
        <v>0</v>
      </c>
      <c r="M27" s="109">
        <f t="shared" si="0"/>
        <v>0</v>
      </c>
      <c r="N27" s="109">
        <f t="shared" si="1"/>
        <v>0</v>
      </c>
      <c r="O27" s="454" t="s">
        <v>462</v>
      </c>
    </row>
    <row r="28" spans="1:15" ht="20.25" customHeight="1" x14ac:dyDescent="0.2">
      <c r="A28" s="82">
        <v>18</v>
      </c>
      <c r="B28" s="476" t="s">
        <v>386</v>
      </c>
      <c r="C28" s="476" t="s">
        <v>387</v>
      </c>
      <c r="D28" s="477" t="s">
        <v>85</v>
      </c>
      <c r="E28" s="547">
        <v>72</v>
      </c>
      <c r="F28" s="160" t="s">
        <v>81</v>
      </c>
      <c r="G28" s="541"/>
      <c r="H28" s="472"/>
      <c r="J28" s="109">
        <f t="shared" si="2"/>
        <v>72</v>
      </c>
      <c r="K28" s="112" t="str">
        <f t="shared" si="3"/>
        <v>Leopold ŠANTIĆ (DID)</v>
      </c>
      <c r="L28" s="109">
        <f t="shared" si="4"/>
        <v>0</v>
      </c>
      <c r="M28" s="109">
        <f t="shared" si="0"/>
        <v>0</v>
      </c>
      <c r="N28" s="109">
        <f t="shared" si="1"/>
        <v>0</v>
      </c>
      <c r="O28" s="454" t="s">
        <v>463</v>
      </c>
    </row>
    <row r="29" spans="1:15" ht="20.25" customHeight="1" x14ac:dyDescent="0.2">
      <c r="A29" s="82">
        <v>19</v>
      </c>
      <c r="B29" s="476" t="s">
        <v>390</v>
      </c>
      <c r="C29" s="476" t="s">
        <v>391</v>
      </c>
      <c r="D29" s="477" t="s">
        <v>348</v>
      </c>
      <c r="E29" s="547">
        <v>85</v>
      </c>
      <c r="F29" s="160" t="s">
        <v>81</v>
      </c>
      <c r="G29" s="541"/>
      <c r="H29" s="472"/>
      <c r="J29" s="109">
        <f t="shared" si="2"/>
        <v>85</v>
      </c>
      <c r="K29" s="112" t="str">
        <f t="shared" si="3"/>
        <v>Marko BRADVIĆ (GMJ)</v>
      </c>
      <c r="L29" s="109">
        <f t="shared" si="4"/>
        <v>0</v>
      </c>
      <c r="M29" s="109">
        <f t="shared" si="0"/>
        <v>0</v>
      </c>
      <c r="N29" s="109">
        <f t="shared" si="1"/>
        <v>0</v>
      </c>
      <c r="O29" s="454" t="s">
        <v>464</v>
      </c>
    </row>
    <row r="30" spans="1:15" ht="20.25" customHeight="1" x14ac:dyDescent="0.2">
      <c r="A30" s="82">
        <v>20</v>
      </c>
      <c r="B30" s="476" t="s">
        <v>392</v>
      </c>
      <c r="C30" s="476" t="s">
        <v>393</v>
      </c>
      <c r="D30" s="477" t="s">
        <v>345</v>
      </c>
      <c r="E30" s="547">
        <v>85</v>
      </c>
      <c r="F30" s="160" t="s">
        <v>81</v>
      </c>
      <c r="G30" s="541"/>
      <c r="H30" s="472"/>
      <c r="J30" s="109">
        <f t="shared" si="2"/>
        <v>85</v>
      </c>
      <c r="K30" s="112" t="str">
        <f t="shared" si="3"/>
        <v>Vilim KARAČIĆ (TER)</v>
      </c>
      <c r="L30" s="109">
        <f t="shared" si="4"/>
        <v>0</v>
      </c>
      <c r="M30" s="109">
        <f t="shared" si="0"/>
        <v>0</v>
      </c>
      <c r="N30" s="109">
        <f t="shared" si="1"/>
        <v>0</v>
      </c>
      <c r="O30" s="454" t="s">
        <v>468</v>
      </c>
    </row>
    <row r="31" spans="1:15" ht="20.25" customHeight="1" x14ac:dyDescent="0.2">
      <c r="A31" s="82">
        <v>21</v>
      </c>
      <c r="B31" s="476" t="s">
        <v>394</v>
      </c>
      <c r="C31" s="476" t="s">
        <v>395</v>
      </c>
      <c r="D31" s="477" t="s">
        <v>349</v>
      </c>
      <c r="E31" s="547">
        <v>94</v>
      </c>
      <c r="F31" s="160" t="s">
        <v>81</v>
      </c>
      <c r="G31" s="541"/>
      <c r="H31" s="472"/>
      <c r="J31" s="109">
        <f t="shared" si="2"/>
        <v>94</v>
      </c>
      <c r="K31" s="112" t="str">
        <f t="shared" si="3"/>
        <v>Vito CEREZIN (TTC)</v>
      </c>
      <c r="L31" s="109">
        <f t="shared" si="4"/>
        <v>0</v>
      </c>
      <c r="M31" s="109">
        <f t="shared" si="0"/>
        <v>0</v>
      </c>
      <c r="N31" s="109">
        <f t="shared" si="1"/>
        <v>0</v>
      </c>
      <c r="O31" s="454" t="s">
        <v>538</v>
      </c>
    </row>
    <row r="32" spans="1:15" ht="20.25" customHeight="1" x14ac:dyDescent="0.2">
      <c r="A32" s="82">
        <v>22</v>
      </c>
      <c r="B32" s="476" t="s">
        <v>396</v>
      </c>
      <c r="C32" s="476" t="s">
        <v>397</v>
      </c>
      <c r="D32" s="477" t="s">
        <v>88</v>
      </c>
      <c r="E32" s="547">
        <v>99</v>
      </c>
      <c r="F32" s="160" t="s">
        <v>81</v>
      </c>
      <c r="G32" s="547"/>
      <c r="H32" s="472"/>
      <c r="J32" s="109">
        <f t="shared" si="2"/>
        <v>99</v>
      </c>
      <c r="K32" s="112" t="str">
        <f t="shared" si="3"/>
        <v>Mario POPOVIĆ (KVA)</v>
      </c>
      <c r="L32" s="109">
        <f t="shared" si="4"/>
        <v>0</v>
      </c>
      <c r="M32" s="109">
        <f t="shared" si="0"/>
        <v>0</v>
      </c>
      <c r="N32" s="109">
        <f t="shared" si="1"/>
        <v>0</v>
      </c>
      <c r="O32" s="454" t="s">
        <v>469</v>
      </c>
    </row>
    <row r="33" spans="1:15" ht="20.25" customHeight="1" x14ac:dyDescent="0.2">
      <c r="A33" s="82">
        <v>23</v>
      </c>
      <c r="B33" s="476" t="s">
        <v>437</v>
      </c>
      <c r="C33" s="476" t="s">
        <v>438</v>
      </c>
      <c r="D33" s="477" t="s">
        <v>350</v>
      </c>
      <c r="E33" s="547">
        <v>105</v>
      </c>
      <c r="F33" s="160" t="s">
        <v>81</v>
      </c>
      <c r="G33" s="547"/>
      <c r="H33" s="472"/>
      <c r="J33" s="109">
        <f t="shared" si="2"/>
        <v>105</v>
      </c>
      <c r="K33" s="112" t="str">
        <f t="shared" si="3"/>
        <v>Matija BULOVIĆ (RAL)</v>
      </c>
      <c r="L33" s="109">
        <f t="shared" si="4"/>
        <v>0</v>
      </c>
      <c r="M33" s="109">
        <f t="shared" si="0"/>
        <v>0</v>
      </c>
      <c r="N33" s="109">
        <f t="shared" si="1"/>
        <v>0</v>
      </c>
      <c r="O33" s="454" t="s">
        <v>470</v>
      </c>
    </row>
    <row r="34" spans="1:15" ht="20.25" customHeight="1" x14ac:dyDescent="0.2">
      <c r="A34" s="82">
        <v>24</v>
      </c>
      <c r="B34" s="476" t="s">
        <v>400</v>
      </c>
      <c r="C34" s="476" t="s">
        <v>356</v>
      </c>
      <c r="D34" s="477" t="s">
        <v>322</v>
      </c>
      <c r="E34" s="547">
        <v>105</v>
      </c>
      <c r="F34" s="160" t="s">
        <v>81</v>
      </c>
      <c r="G34" s="541"/>
      <c r="H34" s="472"/>
      <c r="J34" s="109">
        <f t="shared" si="2"/>
        <v>105</v>
      </c>
      <c r="K34" s="112" t="str">
        <f t="shared" si="3"/>
        <v>Luka JURLINA (ITE)</v>
      </c>
      <c r="L34" s="109">
        <f t="shared" si="4"/>
        <v>0</v>
      </c>
      <c r="M34" s="109">
        <f t="shared" si="0"/>
        <v>0</v>
      </c>
      <c r="N34" s="109">
        <f t="shared" si="1"/>
        <v>0</v>
      </c>
      <c r="O34" s="454" t="s">
        <v>539</v>
      </c>
    </row>
    <row r="35" spans="1:15" ht="20.25" customHeight="1" x14ac:dyDescent="0.2">
      <c r="A35" s="82">
        <v>25</v>
      </c>
      <c r="B35" s="476" t="s">
        <v>401</v>
      </c>
      <c r="C35" s="476" t="s">
        <v>402</v>
      </c>
      <c r="D35" s="477" t="s">
        <v>316</v>
      </c>
      <c r="E35" s="547">
        <v>105</v>
      </c>
      <c r="F35" s="160" t="s">
        <v>81</v>
      </c>
      <c r="G35" s="541"/>
      <c r="H35" s="472"/>
      <c r="J35" s="109">
        <f t="shared" si="2"/>
        <v>105</v>
      </c>
      <c r="K35" s="112" t="str">
        <f t="shared" si="3"/>
        <v>Denis MUŠOVIĆ (VUL)</v>
      </c>
      <c r="L35" s="109">
        <f t="shared" si="4"/>
        <v>0</v>
      </c>
      <c r="M35" s="109">
        <f t="shared" si="0"/>
        <v>0</v>
      </c>
      <c r="N35" s="109">
        <f t="shared" si="1"/>
        <v>0</v>
      </c>
      <c r="O35" s="454" t="s">
        <v>474</v>
      </c>
    </row>
    <row r="36" spans="1:15" ht="20.25" customHeight="1" x14ac:dyDescent="0.2">
      <c r="A36" s="82">
        <v>26</v>
      </c>
      <c r="B36" s="476" t="s">
        <v>406</v>
      </c>
      <c r="C36" s="476" t="s">
        <v>407</v>
      </c>
      <c r="D36" s="477" t="s">
        <v>349</v>
      </c>
      <c r="E36" s="547"/>
      <c r="F36" s="160" t="s">
        <v>81</v>
      </c>
      <c r="G36" s="541"/>
      <c r="H36" s="472"/>
      <c r="J36" s="109">
        <f t="shared" si="2"/>
        <v>0</v>
      </c>
      <c r="K36" s="112" t="str">
        <f t="shared" si="3"/>
        <v>Benjamin BENČEC (TTC)</v>
      </c>
      <c r="L36" s="109">
        <f t="shared" si="4"/>
        <v>0</v>
      </c>
      <c r="M36" s="109">
        <f t="shared" si="0"/>
        <v>0</v>
      </c>
      <c r="N36" s="109">
        <f t="shared" si="1"/>
        <v>0</v>
      </c>
      <c r="O36" s="454" t="s">
        <v>475</v>
      </c>
    </row>
    <row r="37" spans="1:15" ht="20.25" customHeight="1" x14ac:dyDescent="0.2">
      <c r="A37" s="82">
        <v>27</v>
      </c>
      <c r="B37" s="476" t="s">
        <v>363</v>
      </c>
      <c r="C37" s="476" t="s">
        <v>408</v>
      </c>
      <c r="D37" s="477" t="s">
        <v>94</v>
      </c>
      <c r="E37" s="547"/>
      <c r="F37" s="160" t="s">
        <v>81</v>
      </c>
      <c r="G37" s="541"/>
      <c r="H37" s="472"/>
      <c r="J37" s="109">
        <f t="shared" si="2"/>
        <v>0</v>
      </c>
      <c r="K37" s="112" t="str">
        <f t="shared" si="3"/>
        <v>Ivor DRAŽIĆ (SAM)</v>
      </c>
      <c r="L37" s="109">
        <f t="shared" si="4"/>
        <v>0</v>
      </c>
      <c r="M37" s="109">
        <f t="shared" si="0"/>
        <v>0</v>
      </c>
      <c r="N37" s="109">
        <f t="shared" si="1"/>
        <v>0</v>
      </c>
      <c r="O37" s="454" t="s">
        <v>478</v>
      </c>
    </row>
    <row r="38" spans="1:15" ht="20.25" customHeight="1" x14ac:dyDescent="0.2">
      <c r="A38" s="82">
        <v>28</v>
      </c>
      <c r="B38" s="476" t="s">
        <v>416</v>
      </c>
      <c r="C38" s="476" t="s">
        <v>354</v>
      </c>
      <c r="D38" s="477" t="s">
        <v>322</v>
      </c>
      <c r="E38" s="547"/>
      <c r="F38" s="160" t="s">
        <v>81</v>
      </c>
      <c r="G38" s="541"/>
      <c r="H38" s="472"/>
      <c r="J38" s="109">
        <f t="shared" si="2"/>
        <v>0</v>
      </c>
      <c r="K38" s="112" t="str">
        <f t="shared" si="3"/>
        <v>Lovro MARIČIĆ (ITE)</v>
      </c>
      <c r="L38" s="109">
        <f t="shared" si="4"/>
        <v>0</v>
      </c>
      <c r="M38" s="109">
        <f t="shared" si="0"/>
        <v>0</v>
      </c>
      <c r="N38" s="109">
        <f t="shared" si="1"/>
        <v>0</v>
      </c>
      <c r="O38" s="454" t="s">
        <v>540</v>
      </c>
    </row>
    <row r="39" spans="1:15" ht="20.25" customHeight="1" x14ac:dyDescent="0.2">
      <c r="A39" s="82">
        <v>29</v>
      </c>
      <c r="B39" s="476" t="s">
        <v>378</v>
      </c>
      <c r="C39" s="476" t="s">
        <v>54</v>
      </c>
      <c r="D39" s="477" t="s">
        <v>92</v>
      </c>
      <c r="E39" s="547"/>
      <c r="F39" s="160" t="s">
        <v>81</v>
      </c>
      <c r="G39" s="547"/>
      <c r="H39" s="472"/>
      <c r="J39" s="109">
        <f t="shared" si="2"/>
        <v>0</v>
      </c>
      <c r="K39" s="112" t="str">
        <f t="shared" si="3"/>
        <v>Hrvoje MARIĆ (PON)</v>
      </c>
      <c r="L39" s="109">
        <f t="shared" si="4"/>
        <v>0</v>
      </c>
      <c r="M39" s="109">
        <f t="shared" si="0"/>
        <v>0</v>
      </c>
      <c r="N39" s="109">
        <f t="shared" si="1"/>
        <v>0</v>
      </c>
      <c r="O39" s="454" t="s">
        <v>479</v>
      </c>
    </row>
    <row r="40" spans="1:15" ht="20.25" customHeight="1" x14ac:dyDescent="0.2">
      <c r="A40" s="82">
        <v>30</v>
      </c>
      <c r="B40" s="476" t="s">
        <v>425</v>
      </c>
      <c r="C40" s="476" t="s">
        <v>405</v>
      </c>
      <c r="D40" s="477" t="s">
        <v>342</v>
      </c>
      <c r="E40" s="547"/>
      <c r="F40" s="160" t="s">
        <v>81</v>
      </c>
      <c r="G40" s="547"/>
      <c r="H40" s="472"/>
      <c r="J40" s="109">
        <f t="shared" si="2"/>
        <v>0</v>
      </c>
      <c r="K40" s="112" t="str">
        <f t="shared" si="3"/>
        <v>Mihael SCHNEIDER (HTK)</v>
      </c>
      <c r="L40" s="109">
        <f t="shared" si="4"/>
        <v>0</v>
      </c>
      <c r="M40" s="109">
        <f t="shared" si="0"/>
        <v>0</v>
      </c>
      <c r="N40" s="109">
        <f t="shared" si="1"/>
        <v>0</v>
      </c>
      <c r="O40" s="454" t="s">
        <v>481</v>
      </c>
    </row>
    <row r="41" spans="1:15" ht="20.25" customHeight="1" x14ac:dyDescent="0.2">
      <c r="A41" s="82">
        <v>31</v>
      </c>
      <c r="B41" s="476" t="s">
        <v>426</v>
      </c>
      <c r="C41" s="476" t="s">
        <v>427</v>
      </c>
      <c r="D41" s="477" t="s">
        <v>94</v>
      </c>
      <c r="E41" s="547"/>
      <c r="F41" s="477" t="s">
        <v>82</v>
      </c>
      <c r="G41" s="547"/>
      <c r="H41" s="472"/>
      <c r="J41" s="109">
        <f t="shared" si="2"/>
        <v>0</v>
      </c>
      <c r="K41" s="112" t="str">
        <f t="shared" si="3"/>
        <v>Patrik SEVEROVIĆ (SAM)</v>
      </c>
      <c r="L41" s="109">
        <f t="shared" si="4"/>
        <v>0</v>
      </c>
      <c r="M41" s="109">
        <f t="shared" si="0"/>
        <v>0</v>
      </c>
      <c r="N41" s="109">
        <f t="shared" si="1"/>
        <v>0</v>
      </c>
      <c r="O41" s="454" t="s">
        <v>482</v>
      </c>
    </row>
    <row r="42" spans="1:15" ht="20.25" customHeight="1" x14ac:dyDescent="0.2">
      <c r="A42" s="82">
        <v>32</v>
      </c>
      <c r="B42" s="476" t="s">
        <v>432</v>
      </c>
      <c r="C42" s="476" t="s">
        <v>352</v>
      </c>
      <c r="D42" s="477" t="s">
        <v>86</v>
      </c>
      <c r="E42" s="547"/>
      <c r="F42" s="160" t="s">
        <v>81</v>
      </c>
      <c r="G42" s="547"/>
      <c r="H42" s="472"/>
      <c r="J42" s="109">
        <f t="shared" si="2"/>
        <v>0</v>
      </c>
      <c r="K42" s="112" t="str">
        <f t="shared" si="3"/>
        <v>Noa VIDUKA (HRJ)</v>
      </c>
      <c r="L42" s="109">
        <f t="shared" si="4"/>
        <v>0</v>
      </c>
      <c r="M42" s="109">
        <f t="shared" si="0"/>
        <v>0</v>
      </c>
      <c r="N42" s="109">
        <f t="shared" si="1"/>
        <v>0</v>
      </c>
      <c r="O42" s="454" t="s">
        <v>541</v>
      </c>
    </row>
    <row r="43" spans="1:15" ht="20.25" customHeight="1" x14ac:dyDescent="0.2">
      <c r="A43" s="82">
        <v>33</v>
      </c>
      <c r="B43" s="478"/>
      <c r="C43" s="478"/>
      <c r="D43" s="547"/>
      <c r="E43" s="547"/>
      <c r="F43" s="547"/>
      <c r="G43" s="471"/>
      <c r="H43" s="472"/>
      <c r="J43" s="109">
        <f t="shared" si="2"/>
        <v>0</v>
      </c>
      <c r="K43" s="112" t="str">
        <f t="shared" si="3"/>
        <v/>
      </c>
      <c r="L43" s="109">
        <f t="shared" si="4"/>
        <v>0</v>
      </c>
      <c r="M43" s="109">
        <f t="shared" si="0"/>
        <v>0</v>
      </c>
      <c r="N43" s="109">
        <f t="shared" si="1"/>
        <v>0</v>
      </c>
      <c r="O43" s="454" t="s">
        <v>308</v>
      </c>
    </row>
    <row r="44" spans="1:15" ht="20.25" customHeight="1" x14ac:dyDescent="0.2">
      <c r="A44" s="82">
        <v>34</v>
      </c>
      <c r="B44" s="478"/>
      <c r="C44" s="478"/>
      <c r="D44" s="547"/>
      <c r="E44" s="547"/>
      <c r="F44" s="477"/>
      <c r="G44" s="471"/>
      <c r="H44" s="472"/>
      <c r="J44" s="109">
        <f t="shared" si="2"/>
        <v>0</v>
      </c>
      <c r="K44" s="112" t="str">
        <f t="shared" si="3"/>
        <v/>
      </c>
      <c r="L44" s="109">
        <f t="shared" si="4"/>
        <v>0</v>
      </c>
      <c r="M44" s="109">
        <f t="shared" si="0"/>
        <v>0</v>
      </c>
      <c r="N44" s="109">
        <f t="shared" si="1"/>
        <v>0</v>
      </c>
      <c r="O44" s="454" t="s">
        <v>308</v>
      </c>
    </row>
    <row r="45" spans="1:15" ht="20.25" customHeight="1" x14ac:dyDescent="0.2">
      <c r="A45" s="82">
        <v>35</v>
      </c>
      <c r="B45" s="478"/>
      <c r="C45" s="478"/>
      <c r="D45" s="547"/>
      <c r="E45" s="547"/>
      <c r="F45" s="477"/>
      <c r="G45" s="471"/>
      <c r="H45" s="472"/>
      <c r="J45" s="109">
        <f t="shared" si="2"/>
        <v>0</v>
      </c>
      <c r="K45" s="112" t="str">
        <f t="shared" si="3"/>
        <v/>
      </c>
      <c r="L45" s="109">
        <f t="shared" si="4"/>
        <v>0</v>
      </c>
      <c r="M45" s="109">
        <f t="shared" si="0"/>
        <v>0</v>
      </c>
      <c r="N45" s="109">
        <f t="shared" si="1"/>
        <v>0</v>
      </c>
      <c r="O45" s="454" t="s">
        <v>308</v>
      </c>
    </row>
    <row r="46" spans="1:15" ht="20.25" customHeight="1" x14ac:dyDescent="0.2">
      <c r="A46" s="82">
        <v>36</v>
      </c>
      <c r="B46" s="478"/>
      <c r="C46" s="478"/>
      <c r="D46" s="547"/>
      <c r="E46" s="547"/>
      <c r="F46" s="477"/>
      <c r="G46" s="471"/>
      <c r="H46" s="472"/>
      <c r="J46" s="109">
        <f t="shared" si="2"/>
        <v>0</v>
      </c>
      <c r="K46" s="112" t="str">
        <f t="shared" si="3"/>
        <v/>
      </c>
      <c r="L46" s="109">
        <f t="shared" si="4"/>
        <v>0</v>
      </c>
      <c r="M46" s="109">
        <f t="shared" si="0"/>
        <v>0</v>
      </c>
      <c r="N46" s="109">
        <f t="shared" si="1"/>
        <v>0</v>
      </c>
      <c r="O46" s="454" t="s">
        <v>308</v>
      </c>
    </row>
    <row r="47" spans="1:15" ht="20.25" customHeight="1" x14ac:dyDescent="0.2">
      <c r="A47" s="82">
        <v>37</v>
      </c>
      <c r="B47" s="478"/>
      <c r="C47" s="478"/>
      <c r="D47" s="547"/>
      <c r="E47" s="547"/>
      <c r="F47" s="477"/>
      <c r="G47" s="471"/>
      <c r="H47" s="472"/>
      <c r="J47" s="109">
        <f t="shared" si="2"/>
        <v>0</v>
      </c>
      <c r="K47" s="112" t="str">
        <f t="shared" si="3"/>
        <v/>
      </c>
      <c r="L47" s="109">
        <f t="shared" si="4"/>
        <v>0</v>
      </c>
      <c r="M47" s="109">
        <f t="shared" si="0"/>
        <v>0</v>
      </c>
      <c r="N47" s="109">
        <f t="shared" si="1"/>
        <v>0</v>
      </c>
      <c r="O47" s="454" t="s">
        <v>308</v>
      </c>
    </row>
    <row r="48" spans="1:15" ht="20.25" customHeight="1" x14ac:dyDescent="0.2">
      <c r="A48" s="82">
        <v>38</v>
      </c>
      <c r="B48" s="478"/>
      <c r="C48" s="478"/>
      <c r="D48" s="547"/>
      <c r="E48" s="547"/>
      <c r="F48" s="477"/>
      <c r="G48" s="471"/>
      <c r="H48" s="472"/>
      <c r="J48" s="109">
        <f t="shared" si="2"/>
        <v>0</v>
      </c>
      <c r="K48" s="112" t="str">
        <f t="shared" si="3"/>
        <v/>
      </c>
      <c r="L48" s="109">
        <f t="shared" si="4"/>
        <v>0</v>
      </c>
      <c r="M48" s="109">
        <f t="shared" si="0"/>
        <v>0</v>
      </c>
      <c r="N48" s="109">
        <f t="shared" si="1"/>
        <v>0</v>
      </c>
      <c r="O48" s="454" t="s">
        <v>308</v>
      </c>
    </row>
    <row r="49" spans="1:15" ht="20.25" customHeight="1" x14ac:dyDescent="0.2">
      <c r="A49" s="82">
        <v>39</v>
      </c>
      <c r="B49" s="478"/>
      <c r="C49" s="478"/>
      <c r="D49" s="547"/>
      <c r="E49" s="547"/>
      <c r="F49" s="477"/>
      <c r="G49" s="471"/>
      <c r="H49" s="472"/>
      <c r="J49" s="109">
        <f t="shared" si="2"/>
        <v>0</v>
      </c>
      <c r="K49" s="112" t="str">
        <f t="shared" si="3"/>
        <v/>
      </c>
      <c r="L49" s="109">
        <f t="shared" si="4"/>
        <v>0</v>
      </c>
      <c r="M49" s="109">
        <f t="shared" si="0"/>
        <v>0</v>
      </c>
      <c r="N49" s="109">
        <f t="shared" si="1"/>
        <v>0</v>
      </c>
      <c r="O49" s="454" t="s">
        <v>308</v>
      </c>
    </row>
    <row r="50" spans="1:15" ht="20.25" customHeight="1" thickBot="1" x14ac:dyDescent="0.25">
      <c r="A50" s="83">
        <v>40</v>
      </c>
      <c r="B50" s="479"/>
      <c r="C50" s="479"/>
      <c r="D50" s="474"/>
      <c r="E50" s="474"/>
      <c r="F50" s="474"/>
      <c r="G50" s="474"/>
      <c r="H50" s="475"/>
      <c r="J50" s="109">
        <f t="shared" si="2"/>
        <v>0</v>
      </c>
      <c r="K50" s="114" t="str">
        <f t="shared" si="3"/>
        <v/>
      </c>
      <c r="L50" s="109">
        <f t="shared" si="4"/>
        <v>0</v>
      </c>
      <c r="M50" s="109">
        <f t="shared" si="0"/>
        <v>0</v>
      </c>
      <c r="N50" s="109">
        <f t="shared" si="1"/>
        <v>0</v>
      </c>
      <c r="O50" s="455" t="s">
        <v>308</v>
      </c>
    </row>
    <row r="51" spans="1:15" x14ac:dyDescent="0.2">
      <c r="B51" s="549"/>
      <c r="C51" s="549"/>
      <c r="D51" s="551"/>
      <c r="E51" s="551"/>
      <c r="F51" s="551"/>
      <c r="G51" s="551"/>
      <c r="H51" s="551"/>
      <c r="J51" s="116"/>
      <c r="K51" s="117"/>
      <c r="L51" s="118"/>
      <c r="M51" s="118"/>
      <c r="N51" s="118"/>
    </row>
    <row r="52" spans="1:15" x14ac:dyDescent="0.2">
      <c r="B52" s="549"/>
      <c r="C52" s="549"/>
      <c r="D52" s="551"/>
      <c r="E52" s="551"/>
      <c r="F52" s="551"/>
      <c r="G52" s="551"/>
      <c r="H52" s="551"/>
      <c r="J52" s="116"/>
      <c r="K52" s="117"/>
      <c r="L52" s="118"/>
      <c r="M52" s="118"/>
      <c r="N52" s="118"/>
    </row>
    <row r="53" spans="1:15" x14ac:dyDescent="0.2">
      <c r="B53" s="549"/>
      <c r="C53" s="549"/>
      <c r="D53" s="551"/>
      <c r="E53" s="551"/>
      <c r="F53" s="551"/>
      <c r="G53" s="551"/>
      <c r="H53" s="551"/>
      <c r="J53" s="116"/>
      <c r="K53" s="117"/>
      <c r="L53" s="118"/>
      <c r="M53" s="118"/>
      <c r="N53" s="118"/>
    </row>
    <row r="54" spans="1:15" x14ac:dyDescent="0.2">
      <c r="B54" s="549"/>
      <c r="C54" s="549"/>
      <c r="D54" s="551"/>
      <c r="E54" s="551"/>
      <c r="F54" s="551"/>
      <c r="G54" s="551"/>
      <c r="H54" s="551"/>
    </row>
    <row r="55" spans="1:15" x14ac:dyDescent="0.2">
      <c r="B55" s="461"/>
      <c r="C55" s="461"/>
      <c r="D55" s="462"/>
      <c r="E55" s="462"/>
      <c r="F55" s="462"/>
      <c r="G55" s="462"/>
      <c r="H55" s="462"/>
    </row>
    <row r="56" spans="1:15" x14ac:dyDescent="0.2">
      <c r="B56" s="461"/>
      <c r="C56" s="461"/>
      <c r="D56" s="462"/>
      <c r="E56" s="462"/>
      <c r="F56" s="462"/>
      <c r="G56" s="462"/>
      <c r="H56" s="462"/>
    </row>
    <row r="57" spans="1:15" x14ac:dyDescent="0.2">
      <c r="B57" s="461"/>
      <c r="C57" s="461"/>
      <c r="D57" s="462"/>
      <c r="E57" s="462"/>
      <c r="F57" s="462"/>
      <c r="G57" s="462"/>
      <c r="H57" s="462"/>
    </row>
    <row r="58" spans="1:15" x14ac:dyDescent="0.2">
      <c r="B58" s="461"/>
      <c r="C58" s="461"/>
      <c r="D58" s="462"/>
      <c r="E58" s="462"/>
      <c r="F58" s="462"/>
      <c r="G58" s="462"/>
      <c r="H58" s="462"/>
    </row>
    <row r="59" spans="1:15" x14ac:dyDescent="0.2">
      <c r="B59" s="461"/>
      <c r="C59" s="461"/>
      <c r="D59" s="462"/>
      <c r="E59" s="462"/>
      <c r="F59" s="462"/>
      <c r="G59" s="462"/>
      <c r="H59" s="462"/>
    </row>
    <row r="60" spans="1:15" x14ac:dyDescent="0.2">
      <c r="B60" s="461"/>
      <c r="C60" s="461"/>
      <c r="D60" s="462"/>
      <c r="E60" s="462"/>
      <c r="F60" s="462"/>
      <c r="G60" s="462"/>
      <c r="H60" s="462"/>
    </row>
    <row r="61" spans="1:15" x14ac:dyDescent="0.2">
      <c r="B61" s="461"/>
      <c r="C61" s="461"/>
      <c r="D61" s="462"/>
      <c r="E61" s="462"/>
      <c r="F61" s="462"/>
      <c r="G61" s="462"/>
      <c r="H61" s="462"/>
    </row>
    <row r="62" spans="1:15" x14ac:dyDescent="0.2">
      <c r="B62" s="461"/>
      <c r="C62" s="461"/>
      <c r="D62" s="462"/>
      <c r="E62" s="462"/>
      <c r="F62" s="462"/>
      <c r="G62" s="462"/>
      <c r="H62" s="462"/>
    </row>
    <row r="63" spans="1:15" x14ac:dyDescent="0.2">
      <c r="B63" s="461"/>
      <c r="C63" s="461"/>
      <c r="D63" s="462"/>
      <c r="E63" s="462"/>
      <c r="F63" s="462"/>
      <c r="G63" s="462"/>
      <c r="H63" s="462"/>
    </row>
    <row r="64" spans="1:15" x14ac:dyDescent="0.2">
      <c r="B64" s="461"/>
      <c r="C64" s="461"/>
      <c r="D64" s="462"/>
      <c r="E64" s="462"/>
      <c r="F64" s="462"/>
      <c r="G64" s="462"/>
      <c r="H64" s="462"/>
    </row>
    <row r="65" spans="2:8" x14ac:dyDescent="0.2">
      <c r="B65" s="461"/>
      <c r="C65" s="461"/>
      <c r="D65" s="462"/>
      <c r="E65" s="462"/>
      <c r="F65" s="462"/>
      <c r="G65" s="462"/>
      <c r="H65" s="462"/>
    </row>
    <row r="66" spans="2:8" x14ac:dyDescent="0.2">
      <c r="B66" s="461"/>
      <c r="C66" s="461"/>
      <c r="D66" s="462"/>
      <c r="E66" s="462"/>
      <c r="F66" s="462"/>
      <c r="G66" s="462"/>
      <c r="H66" s="462"/>
    </row>
    <row r="67" spans="2:8" x14ac:dyDescent="0.2">
      <c r="B67" s="461"/>
      <c r="C67" s="461"/>
      <c r="D67" s="462"/>
      <c r="E67" s="462"/>
      <c r="F67" s="462"/>
      <c r="G67" s="462"/>
      <c r="H67" s="462"/>
    </row>
    <row r="68" spans="2:8" x14ac:dyDescent="0.2">
      <c r="B68" s="461"/>
      <c r="C68" s="461"/>
      <c r="D68" s="462"/>
      <c r="E68" s="462"/>
      <c r="F68" s="462"/>
      <c r="G68" s="462"/>
      <c r="H68" s="462"/>
    </row>
    <row r="69" spans="2:8" x14ac:dyDescent="0.2">
      <c r="B69" s="461"/>
      <c r="C69" s="461"/>
      <c r="D69" s="462"/>
      <c r="E69" s="462"/>
      <c r="F69" s="462"/>
      <c r="G69" s="462"/>
      <c r="H69" s="462"/>
    </row>
    <row r="70" spans="2:8" x14ac:dyDescent="0.2">
      <c r="B70" s="461"/>
      <c r="C70" s="461"/>
      <c r="D70" s="462"/>
      <c r="E70" s="462"/>
      <c r="F70" s="462"/>
      <c r="G70" s="462"/>
      <c r="H70" s="462"/>
    </row>
    <row r="71" spans="2:8" x14ac:dyDescent="0.2">
      <c r="B71" s="461"/>
      <c r="C71" s="461"/>
      <c r="D71" s="462"/>
      <c r="E71" s="462"/>
      <c r="F71" s="462"/>
      <c r="G71" s="462"/>
      <c r="H71" s="462"/>
    </row>
    <row r="72" spans="2:8" x14ac:dyDescent="0.2">
      <c r="B72" s="461"/>
      <c r="C72" s="461"/>
      <c r="D72" s="462"/>
      <c r="E72" s="462"/>
      <c r="F72" s="462"/>
      <c r="G72" s="462"/>
      <c r="H72" s="462"/>
    </row>
    <row r="73" spans="2:8" x14ac:dyDescent="0.2">
      <c r="B73" s="461"/>
      <c r="C73" s="461"/>
      <c r="D73" s="462"/>
      <c r="E73" s="462"/>
      <c r="F73" s="462"/>
      <c r="G73" s="462"/>
      <c r="H73" s="462"/>
    </row>
    <row r="74" spans="2:8" x14ac:dyDescent="0.2">
      <c r="B74" s="461"/>
      <c r="C74" s="461"/>
      <c r="D74" s="462"/>
      <c r="E74" s="462"/>
      <c r="F74" s="462"/>
      <c r="G74" s="462"/>
      <c r="H74" s="462"/>
    </row>
    <row r="75" spans="2:8" x14ac:dyDescent="0.2">
      <c r="B75" s="461"/>
      <c r="C75" s="461"/>
      <c r="D75" s="462"/>
      <c r="E75" s="462"/>
      <c r="F75" s="462"/>
      <c r="G75" s="462"/>
      <c r="H75" s="462"/>
    </row>
    <row r="76" spans="2:8" x14ac:dyDescent="0.2">
      <c r="B76" s="461"/>
      <c r="C76" s="461"/>
      <c r="D76" s="462"/>
      <c r="E76" s="462"/>
      <c r="F76" s="462"/>
      <c r="G76" s="462"/>
      <c r="H76" s="462"/>
    </row>
    <row r="77" spans="2:8" x14ac:dyDescent="0.2">
      <c r="B77" s="461"/>
      <c r="C77" s="461"/>
      <c r="D77" s="462"/>
      <c r="E77" s="462"/>
      <c r="F77" s="462"/>
      <c r="G77" s="462"/>
      <c r="H77" s="462"/>
    </row>
    <row r="78" spans="2:8" x14ac:dyDescent="0.2">
      <c r="B78" s="461"/>
      <c r="C78" s="461"/>
      <c r="D78" s="462"/>
      <c r="E78" s="462"/>
      <c r="F78" s="462"/>
      <c r="G78" s="462"/>
      <c r="H78" s="462"/>
    </row>
    <row r="79" spans="2:8" x14ac:dyDescent="0.2">
      <c r="B79" s="461"/>
      <c r="C79" s="461"/>
      <c r="D79" s="462"/>
      <c r="E79" s="462"/>
      <c r="F79" s="462"/>
      <c r="G79" s="462"/>
      <c r="H79" s="462"/>
    </row>
    <row r="80" spans="2:8" x14ac:dyDescent="0.2">
      <c r="B80" s="461"/>
      <c r="C80" s="461"/>
      <c r="D80" s="462"/>
      <c r="E80" s="462"/>
      <c r="F80" s="462"/>
      <c r="G80" s="462"/>
      <c r="H80" s="462"/>
    </row>
    <row r="81" spans="2:8" x14ac:dyDescent="0.2">
      <c r="B81" s="461"/>
      <c r="C81" s="461"/>
      <c r="D81" s="462"/>
      <c r="E81" s="462"/>
      <c r="F81" s="462"/>
      <c r="G81" s="462"/>
      <c r="H81" s="462"/>
    </row>
    <row r="82" spans="2:8" x14ac:dyDescent="0.2">
      <c r="B82" s="461"/>
      <c r="C82" s="461"/>
      <c r="D82" s="462"/>
      <c r="E82" s="462"/>
      <c r="F82" s="462"/>
      <c r="G82" s="462"/>
      <c r="H82" s="462"/>
    </row>
    <row r="83" spans="2:8" x14ac:dyDescent="0.2">
      <c r="B83" s="461"/>
      <c r="C83" s="461"/>
      <c r="D83" s="462"/>
      <c r="E83" s="462"/>
      <c r="F83" s="462"/>
      <c r="G83" s="462"/>
      <c r="H83" s="462"/>
    </row>
    <row r="84" spans="2:8" x14ac:dyDescent="0.2">
      <c r="B84" s="461"/>
      <c r="C84" s="461"/>
      <c r="D84" s="462"/>
      <c r="E84" s="462"/>
      <c r="F84" s="462"/>
      <c r="G84" s="462"/>
      <c r="H84" s="462"/>
    </row>
    <row r="85" spans="2:8" x14ac:dyDescent="0.2">
      <c r="B85" s="461"/>
      <c r="C85" s="461"/>
      <c r="D85" s="462"/>
      <c r="E85" s="462"/>
      <c r="F85" s="462"/>
      <c r="G85" s="462"/>
      <c r="H85" s="462"/>
    </row>
    <row r="86" spans="2:8" x14ac:dyDescent="0.2">
      <c r="B86" s="461"/>
      <c r="C86" s="461"/>
      <c r="D86" s="462"/>
      <c r="E86" s="462"/>
      <c r="F86" s="462"/>
      <c r="G86" s="462"/>
      <c r="H86" s="462"/>
    </row>
    <row r="87" spans="2:8" x14ac:dyDescent="0.2">
      <c r="B87" s="461"/>
      <c r="C87" s="461"/>
      <c r="D87" s="462"/>
      <c r="E87" s="462"/>
      <c r="F87" s="462"/>
      <c r="G87" s="462"/>
      <c r="H87" s="462"/>
    </row>
    <row r="88" spans="2:8" x14ac:dyDescent="0.2">
      <c r="B88" s="461"/>
      <c r="C88" s="461"/>
      <c r="D88" s="462"/>
      <c r="E88" s="462"/>
      <c r="F88" s="462"/>
      <c r="G88" s="462"/>
      <c r="H88" s="462"/>
    </row>
    <row r="89" spans="2:8" x14ac:dyDescent="0.2">
      <c r="B89" s="461"/>
      <c r="C89" s="461"/>
      <c r="D89" s="462"/>
      <c r="E89" s="462"/>
      <c r="F89" s="462"/>
      <c r="G89" s="462"/>
      <c r="H89" s="462"/>
    </row>
    <row r="90" spans="2:8" ht="13.5" thickBot="1" x14ac:dyDescent="0.25">
      <c r="B90" s="461"/>
      <c r="C90" s="461"/>
      <c r="D90" s="462"/>
      <c r="E90" s="462"/>
      <c r="F90" s="462"/>
      <c r="G90" s="462"/>
      <c r="H90" s="462"/>
    </row>
    <row r="91" spans="2:8" ht="13.5" thickBot="1" x14ac:dyDescent="0.25">
      <c r="B91" s="463"/>
      <c r="C91" s="464"/>
      <c r="D91" s="464"/>
      <c r="E91" s="464"/>
      <c r="F91" s="464"/>
      <c r="G91" s="464"/>
      <c r="H91" s="465"/>
    </row>
  </sheetData>
  <sheetProtection password="CC5C" sheet="1" objects="1" scenarios="1" sort="0" autoFilter="0"/>
  <sortState ref="B11:H50">
    <sortCondition ref="E11"/>
    <sortCondition ref="G11"/>
    <sortCondition ref="B11"/>
  </sortState>
  <phoneticPr fontId="0" type="noConversion"/>
  <dataValidations count="1">
    <dataValidation type="list" errorStyle="information" allowBlank="1" showInputMessage="1" showErrorMessage="1" errorTitle="fffff" error="Odaberi iz popisa ponuđenog !!!" promptTitle="Status" prompt="DA_x000a_WC_x000a_Q_x000a_LL_x000a_SE" sqref="F11:F50">
      <formula1>$N$1:$N$5</formula1>
    </dataValidation>
  </dataValidations>
  <printOptions horizontalCentered="1"/>
  <pageMargins left="0.19685039370078741" right="0.19685039370078741" top="0.19685039370078741" bottom="0.39370078740157483" header="0.51181102362204722" footer="0.51181102362204722"/>
  <pageSetup paperSize="9" orientation="portrait" horizontalDpi="1200" verticalDpi="1200" r:id="rId1"/>
  <headerFooter alignWithMargins="0"/>
  <rowBreaks count="1" manualBreakCount="1">
    <brk id="42" max="16383" man="1"/>
  </rowBreaks>
  <drawing r:id="rId2"/>
  <legacyDrawing r:id="rId3"/>
  <controls>
    <mc:AlternateContent xmlns:mc="http://schemas.openxmlformats.org/markup-compatibility/2006">
      <mc:Choice Requires="x14">
        <control shapeId="5132" r:id="rId4" name="Label1">
          <controlPr defaultSize="0" print="0" autoLine="0" r:id="rId5">
            <anchor moveWithCells="1" sizeWithCells="1">
              <from>
                <xdr:col>7</xdr:col>
                <xdr:colOff>361950</xdr:colOff>
                <xdr:row>0</xdr:row>
                <xdr:rowOff>0</xdr:rowOff>
              </from>
              <to>
                <xdr:col>8</xdr:col>
                <xdr:colOff>0</xdr:colOff>
                <xdr:row>0</xdr:row>
                <xdr:rowOff>152400</xdr:rowOff>
              </to>
            </anchor>
          </controlPr>
        </control>
      </mc:Choice>
      <mc:Fallback>
        <control shapeId="5132" r:id="rId4" name="Label1"/>
      </mc:Fallback>
    </mc:AlternateContent>
    <mc:AlternateContent xmlns:mc="http://schemas.openxmlformats.org/markup-compatibility/2006">
      <mc:Choice Requires="x14">
        <control shapeId="5131" r:id="rId6" name="Si_Sort_RangLista">
          <controlPr locked="0" defaultSize="0" print="0" autoLine="0" r:id="rId7">
            <anchor moveWithCells="1" sizeWithCells="1">
              <from>
                <xdr:col>7</xdr:col>
                <xdr:colOff>361950</xdr:colOff>
                <xdr:row>1</xdr:row>
                <xdr:rowOff>180975</xdr:rowOff>
              </from>
              <to>
                <xdr:col>8</xdr:col>
                <xdr:colOff>0</xdr:colOff>
                <xdr:row>3</xdr:row>
                <xdr:rowOff>19050</xdr:rowOff>
              </to>
            </anchor>
          </controlPr>
        </control>
      </mc:Choice>
      <mc:Fallback>
        <control shapeId="5131" r:id="rId6" name="Si_Sort_RangLista"/>
      </mc:Fallback>
    </mc:AlternateContent>
    <mc:AlternateContent xmlns:mc="http://schemas.openxmlformats.org/markup-compatibility/2006">
      <mc:Choice Requires="x14">
        <control shapeId="5130" r:id="rId8" name="Si_Sort_Klub">
          <controlPr locked="0" defaultSize="0" print="0" autoLine="0" r:id="rId9">
            <anchor moveWithCells="1" sizeWithCells="1">
              <from>
                <xdr:col>7</xdr:col>
                <xdr:colOff>361950</xdr:colOff>
                <xdr:row>1</xdr:row>
                <xdr:rowOff>19050</xdr:rowOff>
              </from>
              <to>
                <xdr:col>8</xdr:col>
                <xdr:colOff>0</xdr:colOff>
                <xdr:row>2</xdr:row>
                <xdr:rowOff>28575</xdr:rowOff>
              </to>
            </anchor>
          </controlPr>
        </control>
      </mc:Choice>
      <mc:Fallback>
        <control shapeId="5130" r:id="rId8" name="Si_Sort_Klub"/>
      </mc:Fallback>
    </mc:AlternateContent>
    <mc:AlternateContent xmlns:mc="http://schemas.openxmlformats.org/markup-compatibility/2006">
      <mc:Choice Requires="x14">
        <control shapeId="5129" r:id="rId10" name="Si_Sort_Prezime">
          <controlPr locked="0" defaultSize="0" print="0" autoLine="0" r:id="rId11">
            <anchor moveWithCells="1" sizeWithCells="1">
              <from>
                <xdr:col>7</xdr:col>
                <xdr:colOff>361950</xdr:colOff>
                <xdr:row>0</xdr:row>
                <xdr:rowOff>142875</xdr:rowOff>
              </from>
              <to>
                <xdr:col>8</xdr:col>
                <xdr:colOff>0</xdr:colOff>
                <xdr:row>1</xdr:row>
                <xdr:rowOff>57150</xdr:rowOff>
              </to>
            </anchor>
          </controlPr>
        </control>
      </mc:Choice>
      <mc:Fallback>
        <control shapeId="5129" r:id="rId10" name="Si_Sort_Prezim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303">
    <tabColor indexed="19"/>
    <pageSetUpPr fitToPage="1"/>
  </sheetPr>
  <dimension ref="A1:AA85"/>
  <sheetViews>
    <sheetView showGridLines="0" showRowColHeaders="0" showZeros="0" view="pageBreakPreview" zoomScaleNormal="100" zoomScaleSheetLayoutView="100" workbookViewId="0">
      <pane ySplit="6" topLeftCell="A64" activePane="bottomLeft" state="frozen"/>
      <selection activeCell="A3" sqref="A3"/>
      <selection pane="bottomLeft" activeCell="A5" sqref="A5"/>
    </sheetView>
  </sheetViews>
  <sheetFormatPr defaultRowHeight="12.75" x14ac:dyDescent="0.2"/>
  <cols>
    <col min="1" max="1" width="3.7109375" style="14" customWidth="1"/>
    <col min="2" max="4" width="4.7109375" style="14" customWidth="1"/>
    <col min="5" max="5" width="16.7109375" style="14" customWidth="1"/>
    <col min="6" max="6" width="4.7109375" style="14" customWidth="1"/>
    <col min="7" max="7" width="5.7109375" style="14" customWidth="1"/>
    <col min="8" max="8" width="1.7109375" style="14" customWidth="1"/>
    <col min="9" max="9" width="11.7109375" style="14" customWidth="1"/>
    <col min="10" max="11" width="4.7109375" style="14" customWidth="1"/>
    <col min="12" max="12" width="1.7109375" style="14" customWidth="1"/>
    <col min="13" max="13" width="5.7109375" style="14" customWidth="1"/>
    <col min="14" max="14" width="14.7109375" style="14" customWidth="1"/>
    <col min="15" max="15" width="1.7109375" style="14" customWidth="1"/>
    <col min="16" max="16" width="19.7109375" style="14" customWidth="1"/>
    <col min="17" max="17" width="1.7109375" style="14" customWidth="1"/>
    <col min="18" max="18" width="20.7109375" style="14" customWidth="1"/>
    <col min="19" max="19" width="9.140625" style="14"/>
    <col min="20" max="21" width="9.140625" style="14" hidden="1" customWidth="1"/>
    <col min="22" max="26" width="9.140625" style="14"/>
    <col min="27" max="27" width="0" style="14" hidden="1" customWidth="1"/>
    <col min="28" max="16384" width="9.140625" style="14"/>
  </cols>
  <sheetData>
    <row r="1" spans="1:27" ht="23.25" customHeight="1" x14ac:dyDescent="0.3">
      <c r="A1" s="11" t="str">
        <f>Pocetna!$B$7</f>
        <v xml:space="preserve">OP SAMOBORA </v>
      </c>
      <c r="B1" s="12"/>
      <c r="C1" s="12"/>
      <c r="D1" s="12"/>
      <c r="E1" s="12"/>
      <c r="F1" s="13"/>
      <c r="G1" s="13"/>
      <c r="H1" s="13"/>
      <c r="I1" s="13"/>
      <c r="J1" s="13"/>
      <c r="K1" s="13"/>
      <c r="L1" s="13"/>
      <c r="M1" s="13"/>
      <c r="N1" s="122"/>
      <c r="O1" s="13"/>
      <c r="P1" s="134"/>
      <c r="Q1" s="13"/>
      <c r="R1" s="272"/>
      <c r="S1" s="518" t="s">
        <v>312</v>
      </c>
      <c r="T1" s="519" t="s">
        <v>312</v>
      </c>
      <c r="U1" s="136" t="str">
        <f>Izvjestaj!U1</f>
        <v>bez suca</v>
      </c>
    </row>
    <row r="2" spans="1:27" ht="13.5" customHeight="1" x14ac:dyDescent="0.2">
      <c r="A2" s="39" t="str">
        <f>Pocetna!$B$10</f>
        <v>dječaci do 12 god.</v>
      </c>
      <c r="B2" s="39"/>
      <c r="C2" s="39"/>
      <c r="D2" s="39"/>
      <c r="E2" s="13"/>
      <c r="F2" s="13"/>
      <c r="G2" s="13"/>
      <c r="H2" s="13"/>
      <c r="I2" s="15"/>
      <c r="J2" s="15"/>
      <c r="K2" s="15"/>
      <c r="L2" s="73" t="s">
        <v>0</v>
      </c>
      <c r="M2" s="15"/>
      <c r="N2" s="15"/>
      <c r="O2" s="13"/>
      <c r="P2" s="13"/>
      <c r="Q2" s="13"/>
      <c r="R2" s="272"/>
      <c r="S2" s="520">
        <v>8</v>
      </c>
      <c r="T2" s="131">
        <v>2</v>
      </c>
      <c r="U2" s="137">
        <f>Izvjestaj!U2</f>
        <v>0</v>
      </c>
    </row>
    <row r="3" spans="1:27" ht="13.5" customHeight="1" x14ac:dyDescent="0.2">
      <c r="A3" s="17"/>
      <c r="B3" s="17"/>
      <c r="C3" s="17"/>
      <c r="D3" s="17"/>
      <c r="E3" s="17"/>
      <c r="F3" s="17"/>
      <c r="G3" s="17"/>
      <c r="H3" s="17"/>
      <c r="I3" s="17"/>
      <c r="J3" s="17"/>
      <c r="K3" s="17"/>
      <c r="L3" s="15"/>
      <c r="M3" s="15"/>
      <c r="N3" s="15"/>
      <c r="O3" s="15"/>
      <c r="P3" s="15"/>
      <c r="Q3" s="15"/>
      <c r="R3" s="145"/>
      <c r="S3" s="529" t="s">
        <v>320</v>
      </c>
      <c r="T3" s="131">
        <v>4</v>
      </c>
      <c r="U3" s="137" t="str">
        <f>Izvjestaj!U3</f>
        <v>gs 1</v>
      </c>
    </row>
    <row r="4" spans="1:27" ht="13.5" customHeight="1" x14ac:dyDescent="0.2">
      <c r="A4" s="40" t="str">
        <f>Pocetna!$B$11</f>
        <v>Datum turnira</v>
      </c>
      <c r="B4" s="40"/>
      <c r="C4" s="40"/>
      <c r="D4" s="40"/>
      <c r="E4" s="40" t="str">
        <f>Pocetna!$D$11</f>
        <v>Organizator</v>
      </c>
      <c r="F4" s="40"/>
      <c r="G4" s="40"/>
      <c r="H4" s="40"/>
      <c r="I4" s="40" t="str">
        <f>Pocetna!$E$11</f>
        <v>Mjesto</v>
      </c>
      <c r="J4" s="40"/>
      <c r="K4" s="40"/>
      <c r="L4" s="40"/>
      <c r="M4" s="40" t="str">
        <f>Pocetna!$C$11</f>
        <v>ID turnira</v>
      </c>
      <c r="N4" s="40"/>
      <c r="O4" s="40"/>
      <c r="P4" s="40" t="str">
        <f>Pocetna!$B$15</f>
        <v>Rang turnira</v>
      </c>
      <c r="Q4" s="40"/>
      <c r="R4" s="41" t="str">
        <f>Pocetna!$F$11</f>
        <v>Vrhovni sudac</v>
      </c>
      <c r="S4" s="530" t="str">
        <f>'Si GT priprema'!$L$5</f>
        <v>8</v>
      </c>
      <c r="T4" s="210">
        <v>8</v>
      </c>
      <c r="U4" s="137" t="str">
        <f>Izvjestaj!U4</f>
        <v>gs 2</v>
      </c>
    </row>
    <row r="5" spans="1:27" ht="13.5" customHeight="1" thickBot="1" x14ac:dyDescent="0.25">
      <c r="A5" s="667" t="str">
        <f>Pocetna!$B$12</f>
        <v>(22.)24.-26.04.2016.</v>
      </c>
      <c r="B5" s="42"/>
      <c r="C5" s="42"/>
      <c r="D5" s="42"/>
      <c r="E5" s="42" t="str">
        <f>Pocetna!$D$12</f>
        <v>TK Samobor1890</v>
      </c>
      <c r="F5" s="42"/>
      <c r="G5" s="42"/>
      <c r="H5" s="42"/>
      <c r="I5" s="42" t="str">
        <f>Pocetna!$E$12</f>
        <v>Samobor</v>
      </c>
      <c r="J5" s="42"/>
      <c r="K5" s="42"/>
      <c r="L5" s="42"/>
      <c r="M5" s="42" t="str">
        <f>Pocetna!$C$12</f>
        <v>R12_20160422_SAM</v>
      </c>
      <c r="N5" s="38"/>
      <c r="O5" s="42"/>
      <c r="P5" s="42" t="str">
        <f>Pocetna!$B$16</f>
        <v>4. rang</v>
      </c>
      <c r="Q5" s="42"/>
      <c r="R5" s="43" t="str">
        <f>Pocetna!$F$12</f>
        <v>Mladen Šančić</v>
      </c>
      <c r="U5" s="137" t="str">
        <f>Izvjestaj!U5</f>
        <v>gs 3</v>
      </c>
    </row>
    <row r="6" spans="1:27" ht="13.5" customHeight="1" x14ac:dyDescent="0.2">
      <c r="A6" s="20"/>
      <c r="B6" s="20" t="s">
        <v>6</v>
      </c>
      <c r="C6" s="20" t="s">
        <v>7</v>
      </c>
      <c r="D6" s="21" t="s">
        <v>8</v>
      </c>
      <c r="E6" s="600" t="s">
        <v>9</v>
      </c>
      <c r="F6" s="600"/>
      <c r="G6" s="20" t="s">
        <v>1</v>
      </c>
      <c r="H6" s="20"/>
      <c r="I6" s="600" t="s">
        <v>10</v>
      </c>
      <c r="J6" s="600"/>
      <c r="K6" s="600"/>
      <c r="L6" s="20"/>
      <c r="M6" s="600" t="s">
        <v>11</v>
      </c>
      <c r="N6" s="600"/>
      <c r="O6" s="20"/>
      <c r="P6" s="20" t="s">
        <v>12</v>
      </c>
      <c r="Q6" s="20"/>
      <c r="R6" s="20" t="s">
        <v>13</v>
      </c>
      <c r="U6" s="137" t="str">
        <f>Izvjestaj!U6</f>
        <v>gs 4</v>
      </c>
    </row>
    <row r="7" spans="1:27" ht="12.75" customHeight="1" x14ac:dyDescent="0.2">
      <c r="A7" s="13"/>
      <c r="B7" s="13"/>
      <c r="C7" s="13"/>
      <c r="D7" s="22"/>
      <c r="E7" s="13"/>
      <c r="F7" s="13"/>
      <c r="G7" s="13"/>
      <c r="H7" s="13"/>
      <c r="I7" s="13"/>
      <c r="J7" s="13"/>
      <c r="K7" s="13"/>
      <c r="L7" s="13"/>
      <c r="M7" s="13"/>
      <c r="N7" s="13"/>
      <c r="O7" s="13"/>
      <c r="P7" s="13"/>
      <c r="Q7" s="13"/>
      <c r="R7" s="13"/>
      <c r="U7" s="137" t="str">
        <f>Izvjestaj!U7</f>
        <v>gs 5</v>
      </c>
    </row>
    <row r="8" spans="1:27" ht="12.75" customHeight="1" x14ac:dyDescent="0.2">
      <c r="B8" s="23"/>
      <c r="C8" s="23"/>
      <c r="D8" s="24"/>
      <c r="E8" s="25"/>
      <c r="F8" s="25"/>
      <c r="G8" s="26"/>
      <c r="H8" s="26"/>
      <c r="I8" s="26"/>
      <c r="J8" s="26"/>
      <c r="K8" s="26"/>
      <c r="L8" s="26"/>
      <c r="M8" s="26"/>
      <c r="N8" s="26"/>
      <c r="O8" s="26"/>
      <c r="P8" s="26"/>
      <c r="Q8" s="26"/>
      <c r="R8" s="26"/>
      <c r="U8" s="137" t="str">
        <f>Izvjestaj!U8</f>
        <v>gs 6</v>
      </c>
    </row>
    <row r="9" spans="1:27" ht="12.75" customHeight="1" x14ac:dyDescent="0.2">
      <c r="A9" s="126">
        <v>1</v>
      </c>
      <c r="B9" s="28">
        <f>IF($D9="","",VLOOKUP($D9,'Si GT priprema'!$A$11:$F$50,5))</f>
        <v>9</v>
      </c>
      <c r="C9" s="28" t="str">
        <f>IF($D9="","",UPPER(IF(OR(VLOOKUP($D9,'Si GT priprema'!$A$11:$F$50,6)=0,VLOOKUP($D9,'Si GT priprema'!$A$11:$F$50,6)="DA"),"",VLOOKUP($D9,'Si GT priprema'!$A$11:$F$50,6))))</f>
        <v/>
      </c>
      <c r="D9" s="142">
        <v>1</v>
      </c>
      <c r="E9" s="594" t="str">
        <f>IF($D9="","",UPPER(VLOOKUP($D9,'Si GT priprema'!$A$11:$F$50,2))&amp;", "&amp;VLOOKUP($D9,'Si GT priprema'!$A$11:$F$50,3))</f>
        <v>VUKADIN, Noa</v>
      </c>
      <c r="F9" s="601"/>
      <c r="G9" s="121" t="str">
        <f>IF($D9="","",UPPER(VLOOKUP($D9,'Si GT priprema'!$A$11:$F$50,4)))</f>
        <v>VUL</v>
      </c>
      <c r="H9" s="26"/>
      <c r="I9" s="29"/>
      <c r="J9" s="29"/>
      <c r="K9" s="29"/>
      <c r="L9" s="29"/>
      <c r="M9" s="26"/>
      <c r="N9" s="26"/>
      <c r="O9" s="26"/>
      <c r="P9" s="26"/>
      <c r="Q9" s="26"/>
      <c r="R9" s="26"/>
      <c r="U9" s="137" t="str">
        <f>Izvjestaj!U9</f>
        <v>gs 7</v>
      </c>
    </row>
    <row r="10" spans="1:27" ht="12.75" customHeight="1" x14ac:dyDescent="0.2">
      <c r="A10" s="30"/>
      <c r="B10" s="31"/>
      <c r="C10" s="31"/>
      <c r="D10" s="24"/>
      <c r="E10" s="123"/>
      <c r="F10" s="235"/>
      <c r="G10" s="232" t="s">
        <v>77</v>
      </c>
      <c r="H10" s="150" t="s">
        <v>553</v>
      </c>
      <c r="I10" s="596" t="str">
        <f>IF(OR(H10="a",H10="as"),E9,IF(OR(H10="b",H10="bs"),E11,))</f>
        <v>VUKADIN, Noa</v>
      </c>
      <c r="J10" s="598"/>
      <c r="K10" s="598"/>
      <c r="L10" s="598"/>
      <c r="M10" s="26"/>
      <c r="N10" s="26"/>
      <c r="O10" s="26"/>
      <c r="P10" s="26"/>
      <c r="Q10" s="26"/>
      <c r="R10" s="26"/>
      <c r="U10" s="137" t="str">
        <f>Izvjestaj!U10</f>
        <v>gs 8</v>
      </c>
    </row>
    <row r="11" spans="1:27" ht="12.75" customHeight="1" x14ac:dyDescent="0.2">
      <c r="A11" s="27">
        <v>2</v>
      </c>
      <c r="B11" s="28">
        <f>IF($D11="","",VLOOKUP($D11,'Si GT priprema'!$A$11:$F$50,5))</f>
        <v>57</v>
      </c>
      <c r="C11" s="28" t="str">
        <f>IF($D11="","",UPPER(IF(OR(VLOOKUP($D11,'Si GT priprema'!$A$11:$F$50,6)=0,VLOOKUP($D11,'Si GT priprema'!$A$11:$F$50,6)="DA"),"",VLOOKUP($D11,'Si GT priprema'!$A$11:$F$50,6))))</f>
        <v>Q</v>
      </c>
      <c r="D11" s="142">
        <v>12</v>
      </c>
      <c r="E11" s="594" t="str">
        <f>IF($D11="","",UPPER(VLOOKUP($D11,'Si GT priprema'!$A$11:$F$50,2))&amp;", "&amp;VLOOKUP($D11,'Si GT priprema'!$A$11:$F$50,3))</f>
        <v>KRSTANOVIĆ, Luka</v>
      </c>
      <c r="F11" s="595"/>
      <c r="G11" s="121" t="str">
        <f>IF($D11="","",UPPER(VLOOKUP($D11,'Si GT priprema'!$A$11:$F$50,4)))</f>
        <v>PON</v>
      </c>
      <c r="H11" s="33"/>
      <c r="I11" s="152" t="s">
        <v>489</v>
      </c>
      <c r="J11" s="26"/>
      <c r="K11" s="26"/>
      <c r="L11" s="33"/>
      <c r="M11" s="26"/>
      <c r="N11" s="26"/>
      <c r="O11" s="26"/>
      <c r="P11" s="26"/>
      <c r="Q11" s="26"/>
      <c r="R11" s="26"/>
      <c r="U11" s="137" t="str">
        <f>Izvjestaj!U11</f>
        <v>gs 9</v>
      </c>
    </row>
    <row r="12" spans="1:27" ht="12.75" customHeight="1" x14ac:dyDescent="0.2">
      <c r="A12" s="30"/>
      <c r="B12" s="31"/>
      <c r="C12" s="31"/>
      <c r="D12" s="24"/>
      <c r="E12" s="123"/>
      <c r="F12" s="25"/>
      <c r="G12" s="26"/>
      <c r="H12" s="34"/>
      <c r="I12" s="26"/>
      <c r="J12" s="236"/>
      <c r="K12" s="233" t="s">
        <v>77</v>
      </c>
      <c r="L12" s="151" t="s">
        <v>553</v>
      </c>
      <c r="M12" s="596" t="str">
        <f>IF(OR(L12="a",L12="as"),I10,IF(OR(L12="b",L12="bs"),I14,))</f>
        <v>VUKADIN, Noa</v>
      </c>
      <c r="N12" s="597"/>
      <c r="O12" s="597"/>
      <c r="P12" s="26"/>
      <c r="Q12" s="26"/>
      <c r="R12" s="26"/>
      <c r="U12" s="137" t="str">
        <f>Izvjestaj!U12</f>
        <v>gs 10</v>
      </c>
      <c r="AA12" s="202"/>
    </row>
    <row r="13" spans="1:27" ht="12.75" customHeight="1" x14ac:dyDescent="0.2">
      <c r="A13" s="27">
        <v>3</v>
      </c>
      <c r="B13" s="28">
        <f>IF($D13="","",VLOOKUP($D13,'Si GT priprema'!$A$11:$F$50,5))</f>
        <v>51</v>
      </c>
      <c r="C13" s="28" t="str">
        <f>IF($D13="","",UPPER(IF(OR(VLOOKUP($D13,'Si GT priprema'!$A$11:$F$50,6)=0,VLOOKUP($D13,'Si GT priprema'!$A$11:$F$50,6)="DA"),"",VLOOKUP($D13,'Si GT priprema'!$A$11:$F$50,6))))</f>
        <v>Q</v>
      </c>
      <c r="D13" s="142">
        <v>11</v>
      </c>
      <c r="E13" s="594" t="str">
        <f>IF($D13="","",UPPER(VLOOKUP($D13,'Si GT priprema'!$A$11:$F$50,2))&amp;", "&amp;VLOOKUP($D13,'Si GT priprema'!$A$11:$F$50,3))</f>
        <v>ŠTABEK, Domagoj</v>
      </c>
      <c r="F13" s="595"/>
      <c r="G13" s="121" t="str">
        <f>IF($D13="","",UPPER(VLOOKUP($D13,'Si GT priprema'!$A$11:$F$50,4)))</f>
        <v>TER</v>
      </c>
      <c r="H13" s="26"/>
      <c r="I13" s="25"/>
      <c r="J13" s="25"/>
      <c r="K13" s="25"/>
      <c r="L13" s="33"/>
      <c r="M13" s="152" t="s">
        <v>490</v>
      </c>
      <c r="N13" s="26"/>
      <c r="O13" s="33"/>
      <c r="P13" s="26"/>
      <c r="Q13" s="26"/>
      <c r="R13" s="26"/>
      <c r="U13" s="173" t="str">
        <f>Izvjestaj!U13</f>
        <v>gs 11</v>
      </c>
      <c r="AA13" s="173"/>
    </row>
    <row r="14" spans="1:27" ht="12.75" customHeight="1" x14ac:dyDescent="0.2">
      <c r="B14" s="31"/>
      <c r="C14" s="31"/>
      <c r="D14" s="24"/>
      <c r="E14" s="123"/>
      <c r="F14" s="235"/>
      <c r="G14" s="232" t="s">
        <v>77</v>
      </c>
      <c r="H14" s="150" t="s">
        <v>321</v>
      </c>
      <c r="I14" s="596" t="str">
        <f>IF(OR(H14="a",H14="as"),E13,IF(OR(H14="b",H14="bs"),E15,))</f>
        <v>ŠTABEK, Domagoj</v>
      </c>
      <c r="J14" s="598"/>
      <c r="K14" s="598"/>
      <c r="L14" s="599"/>
      <c r="M14" s="26"/>
      <c r="N14" s="26"/>
      <c r="O14" s="33"/>
      <c r="P14" s="26"/>
      <c r="Q14" s="26"/>
      <c r="R14" s="26"/>
      <c r="U14" s="149" t="str">
        <f>Izvjestaj!U14</f>
        <v>gs 12</v>
      </c>
      <c r="AA14" s="149"/>
    </row>
    <row r="15" spans="1:27" ht="12.75" customHeight="1" x14ac:dyDescent="0.2">
      <c r="A15" s="27">
        <v>4</v>
      </c>
      <c r="B15" s="28">
        <f>IF($D15="","",VLOOKUP($D15,'Si GT priprema'!$A$11:$F$50,5))</f>
        <v>105</v>
      </c>
      <c r="C15" s="28" t="str">
        <f>IF($D15="","",UPPER(IF(OR(VLOOKUP($D15,'Si GT priprema'!$A$11:$F$50,6)=0,VLOOKUP($D15,'Si GT priprema'!$A$11:$F$50,6)="DA"),"",VLOOKUP($D15,'Si GT priprema'!$A$11:$F$50,6))))</f>
        <v>Q</v>
      </c>
      <c r="D15" s="142">
        <v>24</v>
      </c>
      <c r="E15" s="594" t="str">
        <f>IF($D15="","",UPPER(VLOOKUP($D15,'Si GT priprema'!$A$11:$F$50,2))&amp;", "&amp;VLOOKUP($D15,'Si GT priprema'!$A$11:$F$50,3))</f>
        <v>JURLINA, Luka</v>
      </c>
      <c r="F15" s="595"/>
      <c r="G15" s="121" t="str">
        <f>IF($D15="","",UPPER(VLOOKUP($D15,'Si GT priprema'!$A$11:$F$50,4)))</f>
        <v>ITE</v>
      </c>
      <c r="H15" s="35"/>
      <c r="I15" s="152" t="s">
        <v>519</v>
      </c>
      <c r="J15" s="26"/>
      <c r="K15" s="26"/>
      <c r="L15" s="26"/>
      <c r="M15" s="26"/>
      <c r="N15" s="26"/>
      <c r="O15" s="33"/>
      <c r="P15" s="26"/>
      <c r="Q15" s="26"/>
      <c r="R15" s="26"/>
      <c r="U15" s="149" t="str">
        <f>Izvjestaj!U15</f>
        <v>gs 13</v>
      </c>
      <c r="AA15" s="149"/>
    </row>
    <row r="16" spans="1:27" ht="12.75" customHeight="1" x14ac:dyDescent="0.2">
      <c r="A16" s="30"/>
      <c r="B16" s="31"/>
      <c r="C16" s="31"/>
      <c r="D16" s="24"/>
      <c r="E16" s="123"/>
      <c r="F16" s="25"/>
      <c r="G16" s="26"/>
      <c r="H16" s="26"/>
      <c r="I16" s="26"/>
      <c r="J16" s="26"/>
      <c r="K16" s="26"/>
      <c r="L16" s="26"/>
      <c r="M16" s="26"/>
      <c r="N16" s="233" t="s">
        <v>77</v>
      </c>
      <c r="O16" s="151" t="s">
        <v>556</v>
      </c>
      <c r="P16" s="596" t="str">
        <f>IF(OR(O16="a",O16="as"),M12,IF(OR(O16="b",O16="bs"),M20,))</f>
        <v>VUKADIN, Noa</v>
      </c>
      <c r="Q16" s="597"/>
      <c r="R16" s="26"/>
      <c r="U16" s="149" t="str">
        <f>Izvjestaj!U16</f>
        <v>gs 14</v>
      </c>
      <c r="AA16" s="149"/>
    </row>
    <row r="17" spans="1:27" ht="12.75" customHeight="1" x14ac:dyDescent="0.2">
      <c r="A17" s="27">
        <v>5</v>
      </c>
      <c r="B17" s="28">
        <f>IF($D17="","",VLOOKUP($D17,'Si GT priprema'!$A$11:$F$50,5))</f>
        <v>63</v>
      </c>
      <c r="C17" s="28" t="str">
        <f>IF($D17="","",UPPER(IF(OR(VLOOKUP($D17,'Si GT priprema'!$A$11:$F$50,6)=0,VLOOKUP($D17,'Si GT priprema'!$A$11:$F$50,6)="DA"),"",VLOOKUP($D17,'Si GT priprema'!$A$11:$F$50,6))))</f>
        <v>Q</v>
      </c>
      <c r="D17" s="142">
        <v>14</v>
      </c>
      <c r="E17" s="594" t="str">
        <f>IF($D17="","",UPPER(VLOOKUP($D17,'Si GT priprema'!$A$11:$F$50,2))&amp;", "&amp;VLOOKUP($D17,'Si GT priprema'!$A$11:$F$50,3))</f>
        <v>MARIĆ, Vid</v>
      </c>
      <c r="F17" s="595"/>
      <c r="G17" s="121" t="str">
        <f>IF($D17="","",UPPER(VLOOKUP($D17,'Si GT priprema'!$A$11:$F$50,4)))</f>
        <v>TSP</v>
      </c>
      <c r="H17" s="26"/>
      <c r="I17" s="26"/>
      <c r="J17" s="26"/>
      <c r="K17" s="26"/>
      <c r="L17" s="26"/>
      <c r="M17" s="26"/>
      <c r="N17" s="26"/>
      <c r="O17" s="33"/>
      <c r="P17" s="152" t="s">
        <v>490</v>
      </c>
      <c r="Q17" s="32"/>
      <c r="R17" s="26"/>
      <c r="U17" s="149" t="str">
        <f>Izvjestaj!U17</f>
        <v>gs 15</v>
      </c>
      <c r="AA17" s="149"/>
    </row>
    <row r="18" spans="1:27" ht="12.75" customHeight="1" x14ac:dyDescent="0.2">
      <c r="A18" s="30"/>
      <c r="B18" s="31"/>
      <c r="C18" s="31"/>
      <c r="D18" s="36"/>
      <c r="E18" s="123"/>
      <c r="F18" s="235"/>
      <c r="G18" s="232" t="s">
        <v>77</v>
      </c>
      <c r="H18" s="150" t="s">
        <v>321</v>
      </c>
      <c r="I18" s="596" t="str">
        <f>IF(OR(H18="a",H18="as"),E17,IF(OR(H18="b",H18="bs"),E19,))</f>
        <v>MARIĆ, Vid</v>
      </c>
      <c r="J18" s="598"/>
      <c r="K18" s="598"/>
      <c r="L18" s="598"/>
      <c r="M18" s="26"/>
      <c r="N18" s="26"/>
      <c r="O18" s="33"/>
      <c r="P18" s="26"/>
      <c r="Q18" s="33"/>
      <c r="R18" s="26"/>
    </row>
    <row r="19" spans="1:27" ht="12.75" customHeight="1" x14ac:dyDescent="0.2">
      <c r="A19" s="27">
        <v>6</v>
      </c>
      <c r="B19" s="28">
        <f>IF($D19="","",VLOOKUP($D19,'Si GT priprema'!$A$11:$F$50,5))</f>
        <v>105</v>
      </c>
      <c r="C19" s="28" t="str">
        <f>IF($D19="","",UPPER(IF(OR(VLOOKUP($D19,'Si GT priprema'!$A$11:$F$50,6)=0,VLOOKUP($D19,'Si GT priprema'!$A$11:$F$50,6)="DA"),"",VLOOKUP($D19,'Si GT priprema'!$A$11:$F$50,6))))</f>
        <v>Q</v>
      </c>
      <c r="D19" s="142">
        <v>25</v>
      </c>
      <c r="E19" s="594" t="str">
        <f>IF($D19="","",UPPER(VLOOKUP($D19,'Si GT priprema'!$A$11:$F$50,2))&amp;", "&amp;VLOOKUP($D19,'Si GT priprema'!$A$11:$F$50,3))</f>
        <v>MUŠOVIĆ, Denis</v>
      </c>
      <c r="F19" s="595"/>
      <c r="G19" s="121" t="str">
        <f>IF($D19="","",UPPER(VLOOKUP($D19,'Si GT priprema'!$A$11:$F$50,4)))</f>
        <v>VUL</v>
      </c>
      <c r="H19" s="35"/>
      <c r="I19" s="152" t="s">
        <v>489</v>
      </c>
      <c r="J19" s="26"/>
      <c r="K19" s="26"/>
      <c r="L19" s="33"/>
      <c r="M19" s="26"/>
      <c r="N19" s="26"/>
      <c r="O19" s="33"/>
      <c r="P19" s="26"/>
      <c r="Q19" s="33"/>
      <c r="R19" s="26"/>
    </row>
    <row r="20" spans="1:27" ht="12.75" customHeight="1" x14ac:dyDescent="0.2">
      <c r="A20" s="30"/>
      <c r="B20" s="31"/>
      <c r="C20" s="31"/>
      <c r="D20" s="36"/>
      <c r="E20" s="123"/>
      <c r="F20" s="25"/>
      <c r="G20" s="26"/>
      <c r="H20" s="26"/>
      <c r="I20" s="26"/>
      <c r="J20" s="26"/>
      <c r="K20" s="233" t="s">
        <v>77</v>
      </c>
      <c r="L20" s="151" t="s">
        <v>598</v>
      </c>
      <c r="M20" s="596" t="str">
        <f>IF(OR(L20="a",L20="as"),I18,IF(OR(L20="b",L20="bs"),I22,))</f>
        <v>NIKOLIĆ, Erik</v>
      </c>
      <c r="N20" s="597"/>
      <c r="O20" s="602"/>
      <c r="P20" s="26"/>
      <c r="Q20" s="33"/>
      <c r="R20" s="26"/>
    </row>
    <row r="21" spans="1:27" ht="12.75" customHeight="1" x14ac:dyDescent="0.2">
      <c r="A21" s="27">
        <v>7</v>
      </c>
      <c r="B21" s="28">
        <f>IF($D21="","",VLOOKUP($D21,'Si GT priprema'!$A$11:$F$50,5))</f>
        <v>72</v>
      </c>
      <c r="C21" s="28" t="str">
        <f>IF($D21="","",UPPER(IF(OR(VLOOKUP($D21,'Si GT priprema'!$A$11:$F$50,6)=0,VLOOKUP($D21,'Si GT priprema'!$A$11:$F$50,6)="DA"),"",VLOOKUP($D21,'Si GT priprema'!$A$11:$F$50,6))))</f>
        <v>Q</v>
      </c>
      <c r="D21" s="142">
        <v>18</v>
      </c>
      <c r="E21" s="594" t="str">
        <f>IF($D21="","",UPPER(VLOOKUP($D21,'Si GT priprema'!$A$11:$F$50,2))&amp;", "&amp;VLOOKUP($D21,'Si GT priprema'!$A$11:$F$50,3))</f>
        <v>ŠANTIĆ, Leopold</v>
      </c>
      <c r="F21" s="595"/>
      <c r="G21" s="121" t="str">
        <f>IF($D21="","",UPPER(VLOOKUP($D21,'Si GT priprema'!$A$11:$F$50,4)))</f>
        <v>DID</v>
      </c>
      <c r="H21" s="26"/>
      <c r="I21" s="26"/>
      <c r="J21" s="26"/>
      <c r="K21" s="26"/>
      <c r="L21" s="33"/>
      <c r="M21" s="152" t="s">
        <v>505</v>
      </c>
      <c r="N21" s="26"/>
      <c r="O21" s="26"/>
      <c r="P21" s="26"/>
      <c r="Q21" s="33"/>
      <c r="R21" s="26"/>
    </row>
    <row r="22" spans="1:27" ht="12.75" customHeight="1" x14ac:dyDescent="0.2">
      <c r="A22" s="30"/>
      <c r="B22" s="31"/>
      <c r="C22" s="31"/>
      <c r="D22" s="36"/>
      <c r="E22" s="123"/>
      <c r="F22" s="235"/>
      <c r="G22" s="232" t="s">
        <v>77</v>
      </c>
      <c r="H22" s="150" t="s">
        <v>554</v>
      </c>
      <c r="I22" s="596" t="str">
        <f>IF(OR(H22="a",H22="as"),E21,IF(OR(H22="b",H22="bs"),E23,))</f>
        <v>NIKOLIĆ, Erik</v>
      </c>
      <c r="J22" s="598"/>
      <c r="K22" s="598"/>
      <c r="L22" s="599"/>
      <c r="M22" s="26"/>
      <c r="N22" s="26"/>
      <c r="O22" s="26"/>
      <c r="P22" s="26"/>
      <c r="Q22" s="33"/>
      <c r="R22" s="26"/>
    </row>
    <row r="23" spans="1:27" ht="12.75" customHeight="1" x14ac:dyDescent="0.2">
      <c r="A23" s="27">
        <v>8</v>
      </c>
      <c r="B23" s="28">
        <f>IF($D23="","",VLOOKUP($D23,'Si GT priprema'!$A$11:$F$50,5))</f>
        <v>36</v>
      </c>
      <c r="C23" s="28" t="str">
        <f>IF($D23="","",UPPER(IF(OR(VLOOKUP($D23,'Si GT priprema'!$A$11:$F$50,6)=0,VLOOKUP($D23,'Si GT priprema'!$A$11:$F$50,6)="DA"),"",VLOOKUP($D23,'Si GT priprema'!$A$11:$F$50,6))))</f>
        <v/>
      </c>
      <c r="D23" s="142">
        <v>6</v>
      </c>
      <c r="E23" s="594" t="str">
        <f>IF($D23="","",UPPER(VLOOKUP($D23,'Si GT priprema'!$A$11:$F$50,2))&amp;", "&amp;VLOOKUP($D23,'Si GT priprema'!$A$11:$F$50,3))</f>
        <v>NIKOLIĆ, Erik</v>
      </c>
      <c r="F23" s="595"/>
      <c r="G23" s="121" t="str">
        <f>IF($D23="","",UPPER(VLOOKUP($D23,'Si GT priprema'!$A$11:$F$50,4)))</f>
        <v>ZGI</v>
      </c>
      <c r="H23" s="35"/>
      <c r="I23" s="152" t="s">
        <v>555</v>
      </c>
      <c r="J23" s="26"/>
      <c r="K23" s="26"/>
      <c r="L23" s="26"/>
      <c r="M23" s="26"/>
      <c r="N23" s="26"/>
      <c r="O23" s="26"/>
      <c r="P23" s="26"/>
      <c r="Q23" s="33"/>
      <c r="R23" s="26"/>
    </row>
    <row r="24" spans="1:27" ht="12.75" customHeight="1" x14ac:dyDescent="0.2">
      <c r="A24" s="30"/>
      <c r="B24" s="31"/>
      <c r="C24" s="31"/>
      <c r="D24" s="36"/>
      <c r="E24" s="25"/>
      <c r="F24" s="25"/>
      <c r="G24" s="26"/>
      <c r="H24" s="26"/>
      <c r="I24" s="26"/>
      <c r="J24" s="26"/>
      <c r="K24" s="26"/>
      <c r="L24" s="26"/>
      <c r="M24" s="26"/>
      <c r="N24" s="26"/>
      <c r="O24" s="26"/>
      <c r="P24" s="233" t="s">
        <v>77</v>
      </c>
      <c r="Q24" s="151" t="s">
        <v>556</v>
      </c>
      <c r="R24" s="127" t="str">
        <f>IF(OR(Q24="a",Q24="as"),P16,IF(OR(Q24="b",Q24="bs"),P32,))</f>
        <v>VUKADIN, Noa</v>
      </c>
    </row>
    <row r="25" spans="1:27" ht="12.75" customHeight="1" x14ac:dyDescent="0.2">
      <c r="A25" s="126">
        <v>9</v>
      </c>
      <c r="B25" s="28">
        <f>IF($D25="","",VLOOKUP($D25,'Si GT priprema'!$A$11:$F$50,5))</f>
        <v>17</v>
      </c>
      <c r="C25" s="28" t="str">
        <f>IF($D25="","",UPPER(IF(OR(VLOOKUP($D25,'Si GT priprema'!$A$11:$F$50,6)=0,VLOOKUP($D25,'Si GT priprema'!$A$11:$F$50,6)="DA"),"",VLOOKUP($D25,'Si GT priprema'!$A$11:$F$50,6))))</f>
        <v/>
      </c>
      <c r="D25" s="142">
        <v>3</v>
      </c>
      <c r="E25" s="594" t="str">
        <f>IF($D25="","",UPPER(VLOOKUP($D25,'Si GT priprema'!$A$11:$F$50,2))&amp;", "&amp;VLOOKUP($D25,'Si GT priprema'!$A$11:$F$50,3))</f>
        <v>DOŠEN, Luka</v>
      </c>
      <c r="F25" s="595"/>
      <c r="G25" s="121" t="str">
        <f>IF($D25="","",UPPER(VLOOKUP($D25,'Si GT priprema'!$A$11:$F$50,4)))</f>
        <v>VUL</v>
      </c>
      <c r="H25" s="26"/>
      <c r="I25" s="29"/>
      <c r="J25" s="29"/>
      <c r="K25" s="29"/>
      <c r="L25" s="29"/>
      <c r="M25" s="26"/>
      <c r="N25" s="26"/>
      <c r="O25" s="26"/>
      <c r="P25" s="26"/>
      <c r="Q25" s="33"/>
      <c r="R25" s="153" t="s">
        <v>602</v>
      </c>
    </row>
    <row r="26" spans="1:27" ht="12.75" customHeight="1" x14ac:dyDescent="0.2">
      <c r="A26" s="30"/>
      <c r="B26" s="31"/>
      <c r="C26" s="31"/>
      <c r="D26" s="36"/>
      <c r="E26" s="123"/>
      <c r="F26" s="235"/>
      <c r="G26" s="232" t="s">
        <v>77</v>
      </c>
      <c r="H26" s="150" t="s">
        <v>556</v>
      </c>
      <c r="I26" s="596" t="str">
        <f>IF(OR(H26="a",H26="as"),E25,IF(OR(H26="b",H26="bs"),E27,))</f>
        <v>DOŠEN, Luka</v>
      </c>
      <c r="J26" s="598"/>
      <c r="K26" s="598"/>
      <c r="L26" s="598"/>
      <c r="M26" s="26"/>
      <c r="N26" s="26"/>
      <c r="O26" s="26"/>
      <c r="P26" s="26"/>
      <c r="Q26" s="33"/>
      <c r="R26" s="33"/>
    </row>
    <row r="27" spans="1:27" ht="12.75" customHeight="1" x14ac:dyDescent="0.2">
      <c r="A27" s="27">
        <v>10</v>
      </c>
      <c r="B27" s="28">
        <f>IF($D27="","",VLOOKUP($D27,'Si GT priprema'!$A$11:$F$50,5))</f>
        <v>67</v>
      </c>
      <c r="C27" s="28" t="str">
        <f>IF($D27="","",UPPER(IF(OR(VLOOKUP($D27,'Si GT priprema'!$A$11:$F$50,6)=0,VLOOKUP($D27,'Si GT priprema'!$A$11:$F$50,6)="DA"),"",VLOOKUP($D27,'Si GT priprema'!$A$11:$F$50,6))))</f>
        <v>Q</v>
      </c>
      <c r="D27" s="142">
        <v>16</v>
      </c>
      <c r="E27" s="594" t="str">
        <f>IF($D27="","",UPPER(VLOOKUP($D27,'Si GT priprema'!$A$11:$F$50,2))&amp;", "&amp;VLOOKUP($D27,'Si GT priprema'!$A$11:$F$50,3))</f>
        <v>HORVATIĆ, Max Ivan</v>
      </c>
      <c r="F27" s="595"/>
      <c r="G27" s="121" t="str">
        <f>IF($D27="","",UPPER(VLOOKUP($D27,'Si GT priprema'!$A$11:$F$50,4)))</f>
        <v>ITE</v>
      </c>
      <c r="H27" s="33"/>
      <c r="I27" s="152" t="s">
        <v>493</v>
      </c>
      <c r="J27" s="26"/>
      <c r="K27" s="26"/>
      <c r="L27" s="33"/>
      <c r="M27" s="26"/>
      <c r="N27" s="26"/>
      <c r="O27" s="26"/>
      <c r="P27" s="26"/>
      <c r="Q27" s="33"/>
      <c r="R27" s="33"/>
    </row>
    <row r="28" spans="1:27" ht="12.75" customHeight="1" x14ac:dyDescent="0.2">
      <c r="A28" s="30"/>
      <c r="B28" s="31"/>
      <c r="C28" s="31"/>
      <c r="D28" s="36"/>
      <c r="E28" s="123"/>
      <c r="F28" s="25"/>
      <c r="G28" s="26"/>
      <c r="H28" s="34"/>
      <c r="I28" s="26"/>
      <c r="J28" s="236"/>
      <c r="K28" s="233" t="s">
        <v>77</v>
      </c>
      <c r="L28" s="151" t="s">
        <v>553</v>
      </c>
      <c r="M28" s="596" t="str">
        <f>IF(OR(L28="a",L28="as"),I26,IF(OR(L28="b",L28="bs"),I30,))</f>
        <v>DOŠEN, Luka</v>
      </c>
      <c r="N28" s="597"/>
      <c r="O28" s="597"/>
      <c r="P28" s="26"/>
      <c r="Q28" s="33"/>
      <c r="R28" s="33"/>
    </row>
    <row r="29" spans="1:27" ht="12.75" customHeight="1" x14ac:dyDescent="0.2">
      <c r="A29" s="27">
        <v>11</v>
      </c>
      <c r="B29" s="28">
        <f>IF($D29="","",VLOOKUP($D29,'Si GT priprema'!$A$11:$F$50,5))</f>
        <v>49</v>
      </c>
      <c r="C29" s="28" t="str">
        <f>IF($D29="","",UPPER(IF(OR(VLOOKUP($D29,'Si GT priprema'!$A$11:$F$50,6)=0,VLOOKUP($D29,'Si GT priprema'!$A$11:$F$50,6)="DA"),"",VLOOKUP($D29,'Si GT priprema'!$A$11:$F$50,6))))</f>
        <v>Q</v>
      </c>
      <c r="D29" s="142">
        <v>10</v>
      </c>
      <c r="E29" s="594" t="str">
        <f>IF($D29="","",UPPER(VLOOKUP($D29,'Si GT priprema'!$A$11:$F$50,2))&amp;", "&amp;VLOOKUP($D29,'Si GT priprema'!$A$11:$F$50,3))</f>
        <v>VOLJAVEC, Antonio</v>
      </c>
      <c r="F29" s="595"/>
      <c r="G29" s="121" t="str">
        <f>IF($D29="","",UPPER(VLOOKUP($D29,'Si GT priprema'!$A$11:$F$50,4)))</f>
        <v>PON</v>
      </c>
      <c r="H29" s="26"/>
      <c r="I29" s="25"/>
      <c r="J29" s="25"/>
      <c r="K29" s="25"/>
      <c r="L29" s="33"/>
      <c r="M29" s="152" t="s">
        <v>557</v>
      </c>
      <c r="N29" s="26"/>
      <c r="O29" s="33"/>
      <c r="P29" s="26"/>
      <c r="Q29" s="33"/>
      <c r="R29" s="33"/>
    </row>
    <row r="30" spans="1:27" ht="12.75" customHeight="1" x14ac:dyDescent="0.2">
      <c r="A30" s="30"/>
      <c r="B30" s="31"/>
      <c r="C30" s="31"/>
      <c r="D30" s="36"/>
      <c r="E30" s="123"/>
      <c r="F30" s="235"/>
      <c r="G30" s="232" t="s">
        <v>77</v>
      </c>
      <c r="H30" s="150" t="s">
        <v>321</v>
      </c>
      <c r="I30" s="596" t="str">
        <f>IF(OR(H30="a",H30="as"),E29,IF(OR(H30="b",H30="bs"),E31,))</f>
        <v>VOLJAVEC, Antonio</v>
      </c>
      <c r="J30" s="598"/>
      <c r="K30" s="598"/>
      <c r="L30" s="599"/>
      <c r="M30" s="26"/>
      <c r="N30" s="26"/>
      <c r="O30" s="33"/>
      <c r="P30" s="26"/>
      <c r="Q30" s="33"/>
      <c r="R30" s="33"/>
    </row>
    <row r="31" spans="1:27" ht="12.75" customHeight="1" x14ac:dyDescent="0.2">
      <c r="A31" s="27">
        <v>12</v>
      </c>
      <c r="B31" s="28">
        <f>IF($D31="","",VLOOKUP($D31,'Si GT priprema'!$A$11:$F$50,5))</f>
        <v>94</v>
      </c>
      <c r="C31" s="28" t="str">
        <f>IF($D31="","",UPPER(IF(OR(VLOOKUP($D31,'Si GT priprema'!$A$11:$F$50,6)=0,VLOOKUP($D31,'Si GT priprema'!$A$11:$F$50,6)="DA"),"",VLOOKUP($D31,'Si GT priprema'!$A$11:$F$50,6))))</f>
        <v>Q</v>
      </c>
      <c r="D31" s="142">
        <v>21</v>
      </c>
      <c r="E31" s="594" t="str">
        <f>IF($D31="","",UPPER(VLOOKUP($D31,'Si GT priprema'!$A$11:$F$50,2))&amp;", "&amp;VLOOKUP($D31,'Si GT priprema'!$A$11:$F$50,3))</f>
        <v>CEREZIN, Vito</v>
      </c>
      <c r="F31" s="595"/>
      <c r="G31" s="121" t="str">
        <f>IF($D31="","",UPPER(VLOOKUP($D31,'Si GT priprema'!$A$11:$F$50,4)))</f>
        <v>TTC</v>
      </c>
      <c r="H31" s="35"/>
      <c r="I31" s="152" t="s">
        <v>508</v>
      </c>
      <c r="J31" s="26"/>
      <c r="K31" s="26"/>
      <c r="L31" s="26"/>
      <c r="M31" s="26"/>
      <c r="N31" s="26"/>
      <c r="O31" s="33"/>
      <c r="P31" s="26"/>
      <c r="Q31" s="33"/>
      <c r="R31" s="33"/>
    </row>
    <row r="32" spans="1:27" ht="12.75" customHeight="1" x14ac:dyDescent="0.2">
      <c r="A32" s="30"/>
      <c r="B32" s="31"/>
      <c r="C32" s="31"/>
      <c r="D32" s="36"/>
      <c r="E32" s="123"/>
      <c r="F32" s="25"/>
      <c r="G32" s="26"/>
      <c r="H32" s="26"/>
      <c r="I32" s="26"/>
      <c r="J32" s="26"/>
      <c r="K32" s="26"/>
      <c r="L32" s="26"/>
      <c r="M32" s="26"/>
      <c r="N32" s="233" t="s">
        <v>77</v>
      </c>
      <c r="O32" s="151" t="s">
        <v>554</v>
      </c>
      <c r="P32" s="596" t="str">
        <f>IF(OR(O32="a",O32="as"),M28,IF(OR(O32="b",O32="bs"),M36,))</f>
        <v>ŠKREB, Daniel</v>
      </c>
      <c r="Q32" s="602"/>
      <c r="R32" s="33"/>
    </row>
    <row r="33" spans="1:18" ht="12.75" customHeight="1" x14ac:dyDescent="0.2">
      <c r="A33" s="27">
        <v>13</v>
      </c>
      <c r="B33" s="28">
        <f>IF($D33="","",VLOOKUP($D33,'Si GT priprema'!$A$11:$F$50,5))</f>
        <v>0</v>
      </c>
      <c r="C33" s="28" t="str">
        <f>IF($D33="","",UPPER(IF(OR(VLOOKUP($D33,'Si GT priprema'!$A$11:$F$50,6)=0,VLOOKUP($D33,'Si GT priprema'!$A$11:$F$50,6)="DA"),"",VLOOKUP($D33,'Si GT priprema'!$A$11:$F$50,6))))</f>
        <v>Q</v>
      </c>
      <c r="D33" s="142">
        <v>28</v>
      </c>
      <c r="E33" s="594" t="str">
        <f>IF($D33="","",UPPER(VLOOKUP($D33,'Si GT priprema'!$A$11:$F$50,2))&amp;", "&amp;VLOOKUP($D33,'Si GT priprema'!$A$11:$F$50,3))</f>
        <v>MARIČIĆ, Lovro</v>
      </c>
      <c r="F33" s="595"/>
      <c r="G33" s="121" t="str">
        <f>IF($D33="","",UPPER(VLOOKUP($D33,'Si GT priprema'!$A$11:$F$50,4)))</f>
        <v>ITE</v>
      </c>
      <c r="H33" s="26"/>
      <c r="I33" s="26"/>
      <c r="J33" s="26"/>
      <c r="K33" s="26"/>
      <c r="L33" s="26"/>
      <c r="M33" s="26"/>
      <c r="N33" s="26"/>
      <c r="O33" s="33"/>
      <c r="P33" s="152" t="s">
        <v>601</v>
      </c>
      <c r="Q33" s="26"/>
      <c r="R33" s="33"/>
    </row>
    <row r="34" spans="1:18" ht="12.75" customHeight="1" x14ac:dyDescent="0.2">
      <c r="A34" s="30"/>
      <c r="B34" s="31"/>
      <c r="C34" s="31"/>
      <c r="D34" s="36"/>
      <c r="E34" s="123"/>
      <c r="F34" s="235"/>
      <c r="G34" s="232" t="s">
        <v>77</v>
      </c>
      <c r="H34" s="150" t="s">
        <v>315</v>
      </c>
      <c r="I34" s="596" t="str">
        <f>IF(OR(H34="a",H34="as"),E33,IF(OR(H34="b",H34="bs"),E35,))</f>
        <v>VIDUKA, Noa</v>
      </c>
      <c r="J34" s="598"/>
      <c r="K34" s="598"/>
      <c r="L34" s="598"/>
      <c r="M34" s="26"/>
      <c r="N34" s="26"/>
      <c r="O34" s="33"/>
      <c r="P34" s="26"/>
      <c r="Q34" s="26"/>
      <c r="R34" s="33"/>
    </row>
    <row r="35" spans="1:18" ht="12.75" customHeight="1" x14ac:dyDescent="0.2">
      <c r="A35" s="27">
        <v>14</v>
      </c>
      <c r="B35" s="28">
        <f>IF($D35="","",VLOOKUP($D35,'Si GT priprema'!$A$11:$F$50,5))</f>
        <v>0</v>
      </c>
      <c r="C35" s="28" t="str">
        <f>IF($D35="","",UPPER(IF(OR(VLOOKUP($D35,'Si GT priprema'!$A$11:$F$50,6)=0,VLOOKUP($D35,'Si GT priprema'!$A$11:$F$50,6)="DA"),"",VLOOKUP($D35,'Si GT priprema'!$A$11:$F$50,6))))</f>
        <v>Q</v>
      </c>
      <c r="D35" s="142">
        <v>32</v>
      </c>
      <c r="E35" s="594" t="str">
        <f>IF($D35="","",UPPER(VLOOKUP($D35,'Si GT priprema'!$A$11:$F$50,2))&amp;", "&amp;VLOOKUP($D35,'Si GT priprema'!$A$11:$F$50,3))</f>
        <v>VIDUKA, Noa</v>
      </c>
      <c r="F35" s="595"/>
      <c r="G35" s="121" t="str">
        <f>IF($D35="","",UPPER(VLOOKUP($D35,'Si GT priprema'!$A$11:$F$50,4)))</f>
        <v>HRJ</v>
      </c>
      <c r="H35" s="35"/>
      <c r="I35" s="152" t="s">
        <v>508</v>
      </c>
      <c r="J35" s="26"/>
      <c r="K35" s="26"/>
      <c r="L35" s="33"/>
      <c r="M35" s="26"/>
      <c r="N35" s="26"/>
      <c r="O35" s="33"/>
      <c r="P35" s="26"/>
      <c r="Q35" s="26"/>
      <c r="R35" s="33"/>
    </row>
    <row r="36" spans="1:18" ht="12.75" customHeight="1" x14ac:dyDescent="0.2">
      <c r="A36" s="30"/>
      <c r="B36" s="31"/>
      <c r="C36" s="31"/>
      <c r="D36" s="36"/>
      <c r="E36" s="123"/>
      <c r="F36" s="25"/>
      <c r="G36" s="26"/>
      <c r="H36" s="26"/>
      <c r="I36" s="26"/>
      <c r="J36" s="26"/>
      <c r="K36" s="233" t="s">
        <v>77</v>
      </c>
      <c r="L36" s="151" t="s">
        <v>598</v>
      </c>
      <c r="M36" s="596" t="str">
        <f>IF(OR(L36="a",L36="as"),I34,IF(OR(L36="b",L36="bs"),I38,))</f>
        <v>ŠKREB, Daniel</v>
      </c>
      <c r="N36" s="597"/>
      <c r="O36" s="602"/>
      <c r="P36" s="26"/>
      <c r="Q36" s="26"/>
      <c r="R36" s="33"/>
    </row>
    <row r="37" spans="1:18" ht="12.75" customHeight="1" x14ac:dyDescent="0.2">
      <c r="A37" s="27">
        <v>15</v>
      </c>
      <c r="B37" s="28">
        <f>IF($D37="","",VLOOKUP($D37,'Si GT priprema'!$A$11:$F$50,5))</f>
        <v>46</v>
      </c>
      <c r="C37" s="28" t="str">
        <f>IF($D37="","",UPPER(IF(OR(VLOOKUP($D37,'Si GT priprema'!$A$11:$F$50,6)=0,VLOOKUP($D37,'Si GT priprema'!$A$11:$F$50,6)="DA"),"",VLOOKUP($D37,'Si GT priprema'!$A$11:$F$50,6))))</f>
        <v>Q</v>
      </c>
      <c r="D37" s="142">
        <v>9</v>
      </c>
      <c r="E37" s="594" t="str">
        <f>IF($D37="","",UPPER(VLOOKUP($D37,'Si GT priprema'!$A$11:$F$50,2))&amp;", "&amp;VLOOKUP($D37,'Si GT priprema'!$A$11:$F$50,3))</f>
        <v>BOBOK, Josip</v>
      </c>
      <c r="F37" s="595"/>
      <c r="G37" s="121" t="str">
        <f>IF($D37="","",UPPER(VLOOKUP($D37,'Si GT priprema'!$A$11:$F$50,4)))</f>
        <v>IMZ</v>
      </c>
      <c r="H37" s="26"/>
      <c r="I37" s="26"/>
      <c r="J37" s="26"/>
      <c r="K37" s="26"/>
      <c r="L37" s="33"/>
      <c r="M37" s="152" t="s">
        <v>490</v>
      </c>
      <c r="N37" s="26"/>
      <c r="O37" s="26"/>
      <c r="P37" s="26"/>
      <c r="Q37" s="26"/>
      <c r="R37" s="33"/>
    </row>
    <row r="38" spans="1:18" ht="12.75" customHeight="1" x14ac:dyDescent="0.2">
      <c r="A38" s="30"/>
      <c r="B38" s="31"/>
      <c r="C38" s="31"/>
      <c r="D38" s="36"/>
      <c r="E38" s="123"/>
      <c r="F38" s="235"/>
      <c r="G38" s="232" t="s">
        <v>77</v>
      </c>
      <c r="H38" s="150" t="s">
        <v>554</v>
      </c>
      <c r="I38" s="596" t="str">
        <f>IF(OR(H38="a",H38="as"),E37,IF(OR(H38="b",H38="bs"),E39,))</f>
        <v>ŠKREB, Daniel</v>
      </c>
      <c r="J38" s="598"/>
      <c r="K38" s="598"/>
      <c r="L38" s="599"/>
      <c r="M38" s="26"/>
      <c r="N38" s="26"/>
      <c r="O38" s="26"/>
      <c r="P38" s="26"/>
      <c r="Q38" s="26"/>
      <c r="R38" s="33"/>
    </row>
    <row r="39" spans="1:18" ht="12.75" customHeight="1" x14ac:dyDescent="0.2">
      <c r="A39" s="27">
        <v>16</v>
      </c>
      <c r="B39" s="28">
        <f>IF($D39="","",VLOOKUP($D39,'Si GT priprema'!$A$11:$F$50,5))</f>
        <v>30</v>
      </c>
      <c r="C39" s="28" t="str">
        <f>IF($D39="","",UPPER(IF(OR(VLOOKUP($D39,'Si GT priprema'!$A$11:$F$50,6)=0,VLOOKUP($D39,'Si GT priprema'!$A$11:$F$50,6)="DA"),"",VLOOKUP($D39,'Si GT priprema'!$A$11:$F$50,6))))</f>
        <v/>
      </c>
      <c r="D39" s="142">
        <v>5</v>
      </c>
      <c r="E39" s="594" t="str">
        <f>IF($D39="","",UPPER(VLOOKUP($D39,'Si GT priprema'!$A$11:$F$50,2))&amp;", "&amp;VLOOKUP($D39,'Si GT priprema'!$A$11:$F$50,3))</f>
        <v>ŠKREB, Daniel</v>
      </c>
      <c r="F39" s="595"/>
      <c r="G39" s="121" t="str">
        <f>IF($D39="","",UPPER(VLOOKUP($D39,'Si GT priprema'!$A$11:$F$50,4)))</f>
        <v>VUL</v>
      </c>
      <c r="H39" s="35"/>
      <c r="I39" s="152" t="s">
        <v>518</v>
      </c>
      <c r="J39" s="26"/>
      <c r="K39" s="26"/>
      <c r="L39" s="26"/>
      <c r="M39" s="26"/>
      <c r="N39" s="26"/>
      <c r="O39" s="26"/>
      <c r="P39" s="26"/>
      <c r="Q39" s="26"/>
      <c r="R39" s="125"/>
    </row>
    <row r="40" spans="1:18" ht="12.75" customHeight="1" x14ac:dyDescent="0.2">
      <c r="A40" s="30"/>
      <c r="B40" s="31"/>
      <c r="C40" s="31"/>
      <c r="D40" s="36"/>
      <c r="E40" s="25"/>
      <c r="F40" s="25"/>
      <c r="G40" s="26"/>
      <c r="H40" s="26"/>
      <c r="I40" s="26"/>
      <c r="J40" s="26"/>
      <c r="K40" s="26"/>
      <c r="L40" s="26"/>
      <c r="M40" s="26"/>
      <c r="N40" s="26"/>
      <c r="O40" s="26"/>
      <c r="P40" s="124" t="s">
        <v>78</v>
      </c>
      <c r="Q40" s="26"/>
      <c r="R40" s="161" t="str">
        <f>IF(OR(Q41="a",Q41="as"),R24,IF(OR(Q41="b",Q41="bs"),R56,))</f>
        <v>VUKADIN, Noa</v>
      </c>
    </row>
    <row r="41" spans="1:18" ht="12.75" customHeight="1" x14ac:dyDescent="0.2">
      <c r="A41" s="27">
        <v>17</v>
      </c>
      <c r="B41" s="28">
        <f>IF($D41="","",VLOOKUP($D41,'Si GT priprema'!$A$11:$F$50,5))</f>
        <v>42</v>
      </c>
      <c r="C41" s="28" t="str">
        <f>IF($D41="","",UPPER(IF(OR(VLOOKUP($D41,'Si GT priprema'!$A$11:$F$50,6)=0,VLOOKUP($D41,'Si GT priprema'!$A$11:$F$50,6)="DA"),"",VLOOKUP($D41,'Si GT priprema'!$A$11:$F$50,6))))</f>
        <v/>
      </c>
      <c r="D41" s="142">
        <v>7</v>
      </c>
      <c r="E41" s="594" t="str">
        <f>IF($D41="","",UPPER(VLOOKUP($D41,'Si GT priprema'!$A$11:$F$50,2))&amp;", "&amp;VLOOKUP($D41,'Si GT priprema'!$A$11:$F$50,3))</f>
        <v>SALOPEK, Dorian</v>
      </c>
      <c r="F41" s="595"/>
      <c r="G41" s="121" t="str">
        <f>IF($D41="","",UPPER(VLOOKUP($D41,'Si GT priprema'!$A$11:$F$50,4)))</f>
        <v>OG</v>
      </c>
      <c r="H41" s="26"/>
      <c r="I41" s="29"/>
      <c r="J41" s="29"/>
      <c r="K41" s="29"/>
      <c r="L41" s="29"/>
      <c r="M41" s="26"/>
      <c r="N41" s="26"/>
      <c r="O41" s="26"/>
      <c r="P41" s="233" t="s">
        <v>77</v>
      </c>
      <c r="Q41" s="151" t="s">
        <v>556</v>
      </c>
      <c r="R41" s="154" t="s">
        <v>603</v>
      </c>
    </row>
    <row r="42" spans="1:18" ht="12.75" customHeight="1" x14ac:dyDescent="0.2">
      <c r="A42" s="30"/>
      <c r="B42" s="31"/>
      <c r="C42" s="31"/>
      <c r="D42" s="36"/>
      <c r="E42" s="123"/>
      <c r="F42" s="235"/>
      <c r="G42" s="232" t="s">
        <v>77</v>
      </c>
      <c r="H42" s="150" t="s">
        <v>556</v>
      </c>
      <c r="I42" s="596" t="str">
        <f>IF(OR(H42="a",H42="as"),E41,IF(OR(H42="b",H42="bs"),E43,))</f>
        <v>SALOPEK, Dorian</v>
      </c>
      <c r="J42" s="598"/>
      <c r="K42" s="598"/>
      <c r="L42" s="598"/>
      <c r="M42" s="26"/>
      <c r="N42" s="26"/>
      <c r="O42" s="26"/>
      <c r="P42" s="26"/>
      <c r="Q42" s="26"/>
      <c r="R42" s="33"/>
    </row>
    <row r="43" spans="1:18" ht="12.75" customHeight="1" x14ac:dyDescent="0.2">
      <c r="A43" s="27">
        <v>18</v>
      </c>
      <c r="B43" s="28">
        <f>IF($D43="","",VLOOKUP($D43,'Si GT priprema'!$A$11:$F$50,5))</f>
        <v>66</v>
      </c>
      <c r="C43" s="28" t="str">
        <f>IF($D43="","",UPPER(IF(OR(VLOOKUP($D43,'Si GT priprema'!$A$11:$F$50,6)=0,VLOOKUP($D43,'Si GT priprema'!$A$11:$F$50,6)="DA"),"",VLOOKUP($D43,'Si GT priprema'!$A$11:$F$50,6))))</f>
        <v>Q</v>
      </c>
      <c r="D43" s="142">
        <v>15</v>
      </c>
      <c r="E43" s="594" t="str">
        <f>IF($D43="","",UPPER(VLOOKUP($D43,'Si GT priprema'!$A$11:$F$50,2))&amp;", "&amp;VLOOKUP($D43,'Si GT priprema'!$A$11:$F$50,3))</f>
        <v>KRŽIĆ, Tin</v>
      </c>
      <c r="F43" s="595"/>
      <c r="G43" s="121" t="str">
        <f>IF($D43="","",UPPER(VLOOKUP($D43,'Si GT priprema'!$A$11:$F$50,4)))</f>
        <v>TER</v>
      </c>
      <c r="H43" s="33"/>
      <c r="I43" s="152" t="s">
        <v>489</v>
      </c>
      <c r="J43" s="26"/>
      <c r="K43" s="26"/>
      <c r="L43" s="33"/>
      <c r="M43" s="26"/>
      <c r="N43" s="26"/>
      <c r="O43" s="26"/>
      <c r="P43" s="26"/>
      <c r="Q43" s="26"/>
      <c r="R43" s="33"/>
    </row>
    <row r="44" spans="1:18" ht="12.75" customHeight="1" x14ac:dyDescent="0.2">
      <c r="A44" s="30"/>
      <c r="B44" s="31"/>
      <c r="C44" s="31"/>
      <c r="D44" s="36"/>
      <c r="E44" s="123"/>
      <c r="F44" s="25"/>
      <c r="G44" s="26"/>
      <c r="H44" s="34"/>
      <c r="I44" s="26"/>
      <c r="J44" s="236"/>
      <c r="K44" s="233" t="s">
        <v>77</v>
      </c>
      <c r="L44" s="151" t="s">
        <v>553</v>
      </c>
      <c r="M44" s="596" t="str">
        <f>IF(OR(L44="a",L44="as"),I42,IF(OR(L44="b",L44="bs"),I46,))</f>
        <v>SALOPEK, Dorian</v>
      </c>
      <c r="N44" s="597"/>
      <c r="O44" s="597"/>
      <c r="P44" s="26"/>
      <c r="Q44" s="26"/>
      <c r="R44" s="33"/>
    </row>
    <row r="45" spans="1:18" ht="12.75" customHeight="1" x14ac:dyDescent="0.2">
      <c r="A45" s="27">
        <v>19</v>
      </c>
      <c r="B45" s="28">
        <f>IF($D45="","",VLOOKUP($D45,'Si GT priprema'!$A$11:$F$50,5))</f>
        <v>85</v>
      </c>
      <c r="C45" s="28" t="str">
        <f>IF($D45="","",UPPER(IF(OR(VLOOKUP($D45,'Si GT priprema'!$A$11:$F$50,6)=0,VLOOKUP($D45,'Si GT priprema'!$A$11:$F$50,6)="DA"),"",VLOOKUP($D45,'Si GT priprema'!$A$11:$F$50,6))))</f>
        <v>Q</v>
      </c>
      <c r="D45" s="142">
        <v>19</v>
      </c>
      <c r="E45" s="594" t="str">
        <f>IF($D45="","",UPPER(VLOOKUP($D45,'Si GT priprema'!$A$11:$F$50,2))&amp;", "&amp;VLOOKUP($D45,'Si GT priprema'!$A$11:$F$50,3))</f>
        <v>BRADVIĆ, Marko</v>
      </c>
      <c r="F45" s="595"/>
      <c r="G45" s="121" t="str">
        <f>IF($D45="","",UPPER(VLOOKUP($D45,'Si GT priprema'!$A$11:$F$50,4)))</f>
        <v>GMJ</v>
      </c>
      <c r="H45" s="26"/>
      <c r="I45" s="25"/>
      <c r="J45" s="25"/>
      <c r="K45" s="25"/>
      <c r="L45" s="33"/>
      <c r="M45" s="152" t="s">
        <v>489</v>
      </c>
      <c r="N45" s="26"/>
      <c r="O45" s="33"/>
      <c r="P45" s="26"/>
      <c r="Q45" s="26"/>
      <c r="R45" s="33"/>
    </row>
    <row r="46" spans="1:18" ht="12.75" customHeight="1" x14ac:dyDescent="0.2">
      <c r="A46" s="30"/>
      <c r="B46" s="31"/>
      <c r="C46" s="31"/>
      <c r="D46" s="36"/>
      <c r="E46" s="123"/>
      <c r="F46" s="235"/>
      <c r="G46" s="232" t="s">
        <v>77</v>
      </c>
      <c r="H46" s="150" t="s">
        <v>315</v>
      </c>
      <c r="I46" s="596" t="str">
        <f>IF(OR(H46="a",H46="as"),E45,IF(OR(H46="b",H46="bs"),E47,))</f>
        <v>SEVEROVIĆ, Patrik</v>
      </c>
      <c r="J46" s="598"/>
      <c r="K46" s="598"/>
      <c r="L46" s="599"/>
      <c r="M46" s="26"/>
      <c r="N46" s="26"/>
      <c r="O46" s="33"/>
      <c r="P46" s="26"/>
      <c r="Q46" s="26"/>
      <c r="R46" s="33"/>
    </row>
    <row r="47" spans="1:18" ht="12.75" customHeight="1" x14ac:dyDescent="0.2">
      <c r="A47" s="27">
        <v>20</v>
      </c>
      <c r="B47" s="28">
        <f>IF($D47="","",VLOOKUP($D47,'Si GT priprema'!$A$11:$F$50,5))</f>
        <v>0</v>
      </c>
      <c r="C47" s="28" t="str">
        <f>IF($D47="","",UPPER(IF(OR(VLOOKUP($D47,'Si GT priprema'!$A$11:$F$50,6)=0,VLOOKUP($D47,'Si GT priprema'!$A$11:$F$50,6)="DA"),"",VLOOKUP($D47,'Si GT priprema'!$A$11:$F$50,6))))</f>
        <v>LL</v>
      </c>
      <c r="D47" s="142">
        <v>31</v>
      </c>
      <c r="E47" s="594" t="str">
        <f>IF($D47="","",UPPER(VLOOKUP($D47,'Si GT priprema'!$A$11:$F$50,2))&amp;", "&amp;VLOOKUP($D47,'Si GT priprema'!$A$11:$F$50,3))</f>
        <v>SEVEROVIĆ, Patrik</v>
      </c>
      <c r="F47" s="595"/>
      <c r="G47" s="121" t="str">
        <f>IF($D47="","",UPPER(VLOOKUP($D47,'Si GT priprema'!$A$11:$F$50,4)))</f>
        <v>SAM</v>
      </c>
      <c r="H47" s="35"/>
      <c r="I47" s="152" t="s">
        <v>489</v>
      </c>
      <c r="J47" s="26"/>
      <c r="K47" s="26"/>
      <c r="L47" s="26"/>
      <c r="M47" s="26"/>
      <c r="N47" s="26"/>
      <c r="O47" s="33"/>
      <c r="P47" s="26"/>
      <c r="Q47" s="26"/>
      <c r="R47" s="33"/>
    </row>
    <row r="48" spans="1:18" ht="12.75" customHeight="1" x14ac:dyDescent="0.2">
      <c r="A48" s="30"/>
      <c r="B48" s="31"/>
      <c r="C48" s="31"/>
      <c r="D48" s="36"/>
      <c r="E48" s="123"/>
      <c r="F48" s="25"/>
      <c r="G48" s="26"/>
      <c r="H48" s="26"/>
      <c r="I48" s="26"/>
      <c r="J48" s="26"/>
      <c r="K48" s="26"/>
      <c r="L48" s="26"/>
      <c r="M48" s="26"/>
      <c r="N48" s="233" t="s">
        <v>77</v>
      </c>
      <c r="O48" s="151" t="s">
        <v>554</v>
      </c>
      <c r="P48" s="596" t="str">
        <f>IF(OR(O48="a",O48="as"),M44,IF(OR(O48="b",O48="bs"),M52,))</f>
        <v>BOBAN, Viktor</v>
      </c>
      <c r="Q48" s="597"/>
      <c r="R48" s="33"/>
    </row>
    <row r="49" spans="1:18" ht="12.75" customHeight="1" x14ac:dyDescent="0.2">
      <c r="A49" s="27">
        <v>21</v>
      </c>
      <c r="B49" s="28">
        <f>IF($D49="","",VLOOKUP($D49,'Si GT priprema'!$A$11:$F$50,5))</f>
        <v>0</v>
      </c>
      <c r="C49" s="28" t="str">
        <f>IF($D49="","",UPPER(IF(OR(VLOOKUP($D49,'Si GT priprema'!$A$11:$F$50,6)=0,VLOOKUP($D49,'Si GT priprema'!$A$11:$F$50,6)="DA"),"",VLOOKUP($D49,'Si GT priprema'!$A$11:$F$50,6))))</f>
        <v>Q</v>
      </c>
      <c r="D49" s="142">
        <v>29</v>
      </c>
      <c r="E49" s="594" t="str">
        <f>IF($D49="","",UPPER(VLOOKUP($D49,'Si GT priprema'!$A$11:$F$50,2))&amp;", "&amp;VLOOKUP($D49,'Si GT priprema'!$A$11:$F$50,3))</f>
        <v>MARIĆ, Hrvoje</v>
      </c>
      <c r="F49" s="595"/>
      <c r="G49" s="121" t="str">
        <f>IF($D49="","",UPPER(VLOOKUP($D49,'Si GT priprema'!$A$11:$F$50,4)))</f>
        <v>PON</v>
      </c>
      <c r="H49" s="26"/>
      <c r="I49" s="26"/>
      <c r="J49" s="26"/>
      <c r="K49" s="26"/>
      <c r="L49" s="26"/>
      <c r="M49" s="26"/>
      <c r="N49" s="26"/>
      <c r="O49" s="33"/>
      <c r="P49" s="152" t="s">
        <v>519</v>
      </c>
      <c r="Q49" s="32"/>
      <c r="R49" s="33"/>
    </row>
    <row r="50" spans="1:18" ht="12.75" customHeight="1" x14ac:dyDescent="0.2">
      <c r="A50" s="30"/>
      <c r="B50" s="31"/>
      <c r="C50" s="31"/>
      <c r="D50" s="36"/>
      <c r="E50" s="123"/>
      <c r="F50" s="235"/>
      <c r="G50" s="232" t="s">
        <v>77</v>
      </c>
      <c r="H50" s="150" t="s">
        <v>590</v>
      </c>
      <c r="I50" s="596" t="str">
        <f>IF(OR(H50="a",H50="as"),E49,IF(OR(H50="b",H50="bs"),E51,))</f>
        <v>MARIĆ, Hrvoje</v>
      </c>
      <c r="J50" s="598"/>
      <c r="K50" s="598"/>
      <c r="L50" s="598"/>
      <c r="M50" s="26"/>
      <c r="N50" s="26"/>
      <c r="O50" s="33"/>
      <c r="P50" s="26"/>
      <c r="Q50" s="33"/>
      <c r="R50" s="33"/>
    </row>
    <row r="51" spans="1:18" ht="12.75" customHeight="1" x14ac:dyDescent="0.2">
      <c r="A51" s="27">
        <v>22</v>
      </c>
      <c r="B51" s="28">
        <f>IF($D51="","",VLOOKUP($D51,'Si GT priprema'!$A$11:$F$50,5))</f>
        <v>105</v>
      </c>
      <c r="C51" s="28" t="str">
        <f>IF($D51="","",UPPER(IF(OR(VLOOKUP($D51,'Si GT priprema'!$A$11:$F$50,6)=0,VLOOKUP($D51,'Si GT priprema'!$A$11:$F$50,6)="DA"),"",VLOOKUP($D51,'Si GT priprema'!$A$11:$F$50,6))))</f>
        <v>Q</v>
      </c>
      <c r="D51" s="142">
        <v>23</v>
      </c>
      <c r="E51" s="594" t="str">
        <f>IF($D51="","",UPPER(VLOOKUP($D51,'Si GT priprema'!$A$11:$F$50,2))&amp;", "&amp;VLOOKUP($D51,'Si GT priprema'!$A$11:$F$50,3))</f>
        <v>BULOVIĆ, Matija</v>
      </c>
      <c r="F51" s="595"/>
      <c r="G51" s="121" t="str">
        <f>IF($D51="","",UPPER(VLOOKUP($D51,'Si GT priprema'!$A$11:$F$50,4)))</f>
        <v>RAL</v>
      </c>
      <c r="H51" s="35"/>
      <c r="I51" s="152" t="s">
        <v>591</v>
      </c>
      <c r="J51" s="26"/>
      <c r="K51" s="26"/>
      <c r="L51" s="33"/>
      <c r="M51" s="26"/>
      <c r="N51" s="26"/>
      <c r="O51" s="33"/>
      <c r="P51" s="26"/>
      <c r="Q51" s="33"/>
      <c r="R51" s="33"/>
    </row>
    <row r="52" spans="1:18" ht="12.75" customHeight="1" x14ac:dyDescent="0.2">
      <c r="A52" s="30"/>
      <c r="B52" s="31"/>
      <c r="C52" s="31"/>
      <c r="D52" s="36"/>
      <c r="E52" s="123"/>
      <c r="F52" s="25"/>
      <c r="G52" s="26"/>
      <c r="H52" s="26"/>
      <c r="I52" s="26"/>
      <c r="J52" s="26"/>
      <c r="K52" s="233" t="s">
        <v>77</v>
      </c>
      <c r="L52" s="151" t="s">
        <v>554</v>
      </c>
      <c r="M52" s="596" t="str">
        <f>IF(OR(L52="a",L52="as"),I50,IF(OR(L52="b",L52="bs"),I54,))</f>
        <v>BOBAN, Viktor</v>
      </c>
      <c r="N52" s="597"/>
      <c r="O52" s="602"/>
      <c r="P52" s="26"/>
      <c r="Q52" s="33"/>
      <c r="R52" s="33"/>
    </row>
    <row r="53" spans="1:18" ht="12.75" customHeight="1" x14ac:dyDescent="0.2">
      <c r="A53" s="27">
        <v>23</v>
      </c>
      <c r="B53" s="28">
        <f>IF($D53="","",VLOOKUP($D53,'Si GT priprema'!$A$11:$F$50,5))</f>
        <v>0</v>
      </c>
      <c r="C53" s="28" t="str">
        <f>IF($D53="","",UPPER(IF(OR(VLOOKUP($D53,'Si GT priprema'!$A$11:$F$50,6)=0,VLOOKUP($D53,'Si GT priprema'!$A$11:$F$50,6)="DA"),"",VLOOKUP($D53,'Si GT priprema'!$A$11:$F$50,6))))</f>
        <v>Q</v>
      </c>
      <c r="D53" s="142">
        <v>27</v>
      </c>
      <c r="E53" s="594" t="str">
        <f>IF($D53="","",UPPER(VLOOKUP($D53,'Si GT priprema'!$A$11:$F$50,2))&amp;", "&amp;VLOOKUP($D53,'Si GT priprema'!$A$11:$F$50,3))</f>
        <v>DRAŽIĆ, Ivor</v>
      </c>
      <c r="F53" s="595"/>
      <c r="G53" s="121" t="str">
        <f>IF($D53="","",UPPER(VLOOKUP($D53,'Si GT priprema'!$A$11:$F$50,4)))</f>
        <v>SAM</v>
      </c>
      <c r="H53" s="26"/>
      <c r="I53" s="26"/>
      <c r="J53" s="26"/>
      <c r="K53" s="26"/>
      <c r="L53" s="33"/>
      <c r="M53" s="152" t="s">
        <v>557</v>
      </c>
      <c r="N53" s="26"/>
      <c r="O53" s="26"/>
      <c r="P53" s="26"/>
      <c r="Q53" s="33"/>
      <c r="R53" s="33"/>
    </row>
    <row r="54" spans="1:18" ht="12.75" customHeight="1" x14ac:dyDescent="0.2">
      <c r="A54" s="30"/>
      <c r="B54" s="31"/>
      <c r="C54" s="31"/>
      <c r="D54" s="36"/>
      <c r="E54" s="123"/>
      <c r="F54" s="235"/>
      <c r="G54" s="232" t="s">
        <v>77</v>
      </c>
      <c r="H54" s="150" t="s">
        <v>554</v>
      </c>
      <c r="I54" s="596" t="str">
        <f>IF(OR(H54="a",H54="as"),E53,IF(OR(H54="b",H54="bs"),E55,))</f>
        <v>BOBAN, Viktor</v>
      </c>
      <c r="J54" s="598"/>
      <c r="K54" s="598"/>
      <c r="L54" s="599"/>
      <c r="M54" s="26"/>
      <c r="N54" s="26"/>
      <c r="O54" s="26"/>
      <c r="P54" s="26"/>
      <c r="Q54" s="33"/>
      <c r="R54" s="33"/>
    </row>
    <row r="55" spans="1:18" ht="12.75" customHeight="1" x14ac:dyDescent="0.2">
      <c r="A55" s="126">
        <v>24</v>
      </c>
      <c r="B55" s="28">
        <f>IF($D55="","",VLOOKUP($D55,'Si GT priprema'!$A$11:$F$50,5))</f>
        <v>18</v>
      </c>
      <c r="C55" s="28" t="str">
        <f>IF($D55="","",UPPER(IF(OR(VLOOKUP($D55,'Si GT priprema'!$A$11:$F$50,6)=0,VLOOKUP($D55,'Si GT priprema'!$A$11:$F$50,6)="DA"),"",VLOOKUP($D55,'Si GT priprema'!$A$11:$F$50,6))))</f>
        <v/>
      </c>
      <c r="D55" s="142">
        <v>4</v>
      </c>
      <c r="E55" s="594" t="str">
        <f>IF($D55="","",UPPER(VLOOKUP($D55,'Si GT priprema'!$A$11:$F$50,2))&amp;", "&amp;VLOOKUP($D55,'Si GT priprema'!$A$11:$F$50,3))</f>
        <v>BOBAN, Viktor</v>
      </c>
      <c r="F55" s="595"/>
      <c r="G55" s="121" t="str">
        <f>IF($D55="","",UPPER(VLOOKUP($D55,'Si GT priprema'!$A$11:$F$50,4)))</f>
        <v>MDV</v>
      </c>
      <c r="H55" s="35"/>
      <c r="I55" s="152" t="s">
        <v>489</v>
      </c>
      <c r="J55" s="26"/>
      <c r="K55" s="26"/>
      <c r="L55" s="26"/>
      <c r="M55" s="26"/>
      <c r="N55" s="26"/>
      <c r="O55" s="26"/>
      <c r="P55" s="26"/>
      <c r="Q55" s="33"/>
      <c r="R55" s="33"/>
    </row>
    <row r="56" spans="1:18" ht="12.75" customHeight="1" x14ac:dyDescent="0.2">
      <c r="A56" s="30"/>
      <c r="B56" s="31"/>
      <c r="C56" s="31"/>
      <c r="D56" s="36"/>
      <c r="E56" s="25"/>
      <c r="F56" s="25"/>
      <c r="G56" s="26"/>
      <c r="H56" s="26"/>
      <c r="I56" s="26"/>
      <c r="J56" s="26"/>
      <c r="K56" s="26"/>
      <c r="L56" s="26"/>
      <c r="M56" s="26"/>
      <c r="N56" s="26"/>
      <c r="O56" s="26"/>
      <c r="P56" s="233" t="s">
        <v>77</v>
      </c>
      <c r="Q56" s="151" t="s">
        <v>554</v>
      </c>
      <c r="R56" s="128" t="str">
        <f>IF(OR(Q56="a",Q56="as"),P48,IF(OR(Q56="b",Q56="bs"),P64,))</f>
        <v>MAJCAN, Lovro</v>
      </c>
    </row>
    <row r="57" spans="1:18" ht="12.75" customHeight="1" x14ac:dyDescent="0.2">
      <c r="A57" s="27">
        <v>25</v>
      </c>
      <c r="B57" s="28">
        <f>IF($D57="","",VLOOKUP($D57,'Si GT priprema'!$A$11:$F$50,5))</f>
        <v>44</v>
      </c>
      <c r="C57" s="28" t="str">
        <f>IF($D57="","",UPPER(IF(OR(VLOOKUP($D57,'Si GT priprema'!$A$11:$F$50,6)=0,VLOOKUP($D57,'Si GT priprema'!$A$11:$F$50,6)="DA"),"",VLOOKUP($D57,'Si GT priprema'!$A$11:$F$50,6))))</f>
        <v>Q</v>
      </c>
      <c r="D57" s="142">
        <v>8</v>
      </c>
      <c r="E57" s="594" t="str">
        <f>IF($D57="","",UPPER(VLOOKUP($D57,'Si GT priprema'!$A$11:$F$50,2))&amp;", "&amp;VLOOKUP($D57,'Si GT priprema'!$A$11:$F$50,3))</f>
        <v>NOTHIG, Karlo</v>
      </c>
      <c r="F57" s="595"/>
      <c r="G57" s="121" t="str">
        <f>IF($D57="","",UPPER(VLOOKUP($D57,'Si GT priprema'!$A$11:$F$50,4)))</f>
        <v>ITE</v>
      </c>
      <c r="H57" s="26"/>
      <c r="I57" s="29"/>
      <c r="J57" s="29"/>
      <c r="K57" s="29"/>
      <c r="L57" s="29"/>
      <c r="M57" s="26"/>
      <c r="N57" s="26"/>
      <c r="O57" s="26"/>
      <c r="P57" s="26"/>
      <c r="Q57" s="33"/>
      <c r="R57" s="152" t="s">
        <v>490</v>
      </c>
    </row>
    <row r="58" spans="1:18" ht="12.75" customHeight="1" x14ac:dyDescent="0.2">
      <c r="A58" s="30"/>
      <c r="B58" s="31"/>
      <c r="C58" s="31"/>
      <c r="D58" s="36"/>
      <c r="E58" s="123"/>
      <c r="F58" s="235"/>
      <c r="G58" s="232" t="s">
        <v>77</v>
      </c>
      <c r="H58" s="150" t="s">
        <v>556</v>
      </c>
      <c r="I58" s="596" t="str">
        <f>IF(OR(H58="a",H58="as"),E57,IF(OR(H58="b",H58="bs"),E59,))</f>
        <v>NOTHIG, Karlo</v>
      </c>
      <c r="J58" s="598"/>
      <c r="K58" s="598"/>
      <c r="L58" s="598"/>
      <c r="M58" s="26"/>
      <c r="N58" s="26"/>
      <c r="O58" s="26"/>
      <c r="P58" s="26"/>
      <c r="Q58" s="33"/>
      <c r="R58" s="26"/>
    </row>
    <row r="59" spans="1:18" ht="12.75" customHeight="1" x14ac:dyDescent="0.2">
      <c r="A59" s="27">
        <v>26</v>
      </c>
      <c r="B59" s="28">
        <f>IF($D59="","",VLOOKUP($D59,'Si GT priprema'!$A$11:$F$50,5))</f>
        <v>0</v>
      </c>
      <c r="C59" s="28" t="str">
        <f>IF($D59="","",UPPER(IF(OR(VLOOKUP($D59,'Si GT priprema'!$A$11:$F$50,6)=0,VLOOKUP($D59,'Si GT priprema'!$A$11:$F$50,6)="DA"),"",VLOOKUP($D59,'Si GT priprema'!$A$11:$F$50,6))))</f>
        <v>Q</v>
      </c>
      <c r="D59" s="142">
        <v>30</v>
      </c>
      <c r="E59" s="594" t="str">
        <f>IF($D59="","",UPPER(VLOOKUP($D59,'Si GT priprema'!$A$11:$F$50,2))&amp;", "&amp;VLOOKUP($D59,'Si GT priprema'!$A$11:$F$50,3))</f>
        <v>SCHNEIDER, Mihael</v>
      </c>
      <c r="F59" s="595"/>
      <c r="G59" s="121" t="str">
        <f>IF($D59="","",UPPER(VLOOKUP($D59,'Si GT priprema'!$A$11:$F$50,4)))</f>
        <v>HTK</v>
      </c>
      <c r="H59" s="33"/>
      <c r="I59" s="152" t="s">
        <v>557</v>
      </c>
      <c r="J59" s="26"/>
      <c r="K59" s="26"/>
      <c r="L59" s="33"/>
      <c r="M59" s="26"/>
      <c r="N59" s="26"/>
      <c r="O59" s="26"/>
      <c r="P59" s="26"/>
      <c r="Q59" s="33"/>
      <c r="R59" s="26"/>
    </row>
    <row r="60" spans="1:18" ht="12.75" customHeight="1" x14ac:dyDescent="0.2">
      <c r="A60" s="30"/>
      <c r="B60" s="31"/>
      <c r="C60" s="31"/>
      <c r="D60" s="36"/>
      <c r="E60" s="123"/>
      <c r="F60" s="25"/>
      <c r="G60" s="26"/>
      <c r="H60" s="34"/>
      <c r="I60" s="26"/>
      <c r="J60" s="236"/>
      <c r="K60" s="233" t="s">
        <v>77</v>
      </c>
      <c r="L60" s="151" t="s">
        <v>556</v>
      </c>
      <c r="M60" s="596" t="str">
        <f>IF(OR(L60="a",L60="as"),I58,IF(OR(L60="b",L60="bs"),I62,))</f>
        <v>NOTHIG, Karlo</v>
      </c>
      <c r="N60" s="597"/>
      <c r="O60" s="597"/>
      <c r="P60" s="26"/>
      <c r="Q60" s="33"/>
      <c r="R60" s="25"/>
    </row>
    <row r="61" spans="1:18" ht="12.75" customHeight="1" x14ac:dyDescent="0.2">
      <c r="A61" s="27">
        <v>27</v>
      </c>
      <c r="B61" s="28">
        <f>IF($D61="","",VLOOKUP($D61,'Si GT priprema'!$A$11:$F$50,5))</f>
        <v>62</v>
      </c>
      <c r="C61" s="28" t="str">
        <f>IF($D61="","",UPPER(IF(OR(VLOOKUP($D61,'Si GT priprema'!$A$11:$F$50,6)=0,VLOOKUP($D61,'Si GT priprema'!$A$11:$F$50,6)="DA"),"",VLOOKUP($D61,'Si GT priprema'!$A$11:$F$50,6))))</f>
        <v>Q</v>
      </c>
      <c r="D61" s="142">
        <v>13</v>
      </c>
      <c r="E61" s="594" t="str">
        <f>IF($D61="","",UPPER(VLOOKUP($D61,'Si GT priprema'!$A$11:$F$50,2))&amp;", "&amp;VLOOKUP($D61,'Si GT priprema'!$A$11:$F$50,3))</f>
        <v>DUBOVEČAK, Filip</v>
      </c>
      <c r="F61" s="595"/>
      <c r="G61" s="121" t="str">
        <f>IF($D61="","",UPPER(VLOOKUP($D61,'Si GT priprema'!$A$11:$F$50,4)))</f>
        <v>ITE</v>
      </c>
      <c r="H61" s="26"/>
      <c r="I61" s="25"/>
      <c r="J61" s="25"/>
      <c r="K61" s="25"/>
      <c r="L61" s="33"/>
      <c r="M61" s="152" t="s">
        <v>600</v>
      </c>
      <c r="N61" s="26"/>
      <c r="O61" s="33"/>
      <c r="P61" s="26"/>
      <c r="Q61" s="33"/>
      <c r="R61" s="26"/>
    </row>
    <row r="62" spans="1:18" ht="12.75" customHeight="1" x14ac:dyDescent="0.2">
      <c r="A62" s="30"/>
      <c r="B62" s="31"/>
      <c r="C62" s="31"/>
      <c r="D62" s="36"/>
      <c r="E62" s="123"/>
      <c r="F62" s="235"/>
      <c r="G62" s="232" t="s">
        <v>77</v>
      </c>
      <c r="H62" s="150" t="s">
        <v>321</v>
      </c>
      <c r="I62" s="596" t="str">
        <f>IF(OR(H62="a",H62="as"),E61,IF(OR(H62="b",H62="bs"),E63,))</f>
        <v>DUBOVEČAK, Filip</v>
      </c>
      <c r="J62" s="598"/>
      <c r="K62" s="598"/>
      <c r="L62" s="599"/>
      <c r="M62" s="26"/>
      <c r="N62" s="26"/>
      <c r="O62" s="33"/>
      <c r="P62" s="26"/>
      <c r="Q62" s="33"/>
      <c r="R62" s="26"/>
    </row>
    <row r="63" spans="1:18" ht="12.75" customHeight="1" x14ac:dyDescent="0.2">
      <c r="A63" s="27">
        <v>28</v>
      </c>
      <c r="B63" s="28">
        <f>IF($D63="","",VLOOKUP($D63,'Si GT priprema'!$A$11:$F$50,5))</f>
        <v>99</v>
      </c>
      <c r="C63" s="28" t="str">
        <f>IF($D63="","",UPPER(IF(OR(VLOOKUP($D63,'Si GT priprema'!$A$11:$F$50,6)=0,VLOOKUP($D63,'Si GT priprema'!$A$11:$F$50,6)="DA"),"",VLOOKUP($D63,'Si GT priprema'!$A$11:$F$50,6))))</f>
        <v>Q</v>
      </c>
      <c r="D63" s="142">
        <v>22</v>
      </c>
      <c r="E63" s="594" t="str">
        <f>IF($D63="","",UPPER(VLOOKUP($D63,'Si GT priprema'!$A$11:$F$50,2))&amp;", "&amp;VLOOKUP($D63,'Si GT priprema'!$A$11:$F$50,3))</f>
        <v>POPOVIĆ, Mario</v>
      </c>
      <c r="F63" s="595"/>
      <c r="G63" s="121" t="str">
        <f>IF($D63="","",UPPER(VLOOKUP($D63,'Si GT priprema'!$A$11:$F$50,4)))</f>
        <v>KVA</v>
      </c>
      <c r="H63" s="35"/>
      <c r="I63" s="152" t="s">
        <v>558</v>
      </c>
      <c r="J63" s="26"/>
      <c r="K63" s="26"/>
      <c r="L63" s="26"/>
      <c r="M63" s="26"/>
      <c r="N63" s="26"/>
      <c r="O63" s="33"/>
      <c r="P63" s="26"/>
      <c r="Q63" s="33"/>
      <c r="R63" s="26"/>
    </row>
    <row r="64" spans="1:18" ht="12.75" customHeight="1" x14ac:dyDescent="0.2">
      <c r="A64" s="30"/>
      <c r="B64" s="31"/>
      <c r="C64" s="31"/>
      <c r="D64" s="36"/>
      <c r="E64" s="123"/>
      <c r="F64" s="25"/>
      <c r="G64" s="26"/>
      <c r="H64" s="26"/>
      <c r="I64" s="26"/>
      <c r="J64" s="26"/>
      <c r="K64" s="26"/>
      <c r="L64" s="26"/>
      <c r="M64" s="26"/>
      <c r="N64" s="233" t="s">
        <v>77</v>
      </c>
      <c r="O64" s="151" t="s">
        <v>554</v>
      </c>
      <c r="P64" s="596" t="str">
        <f>IF(OR(O64="a",O64="as"),M60,IF(OR(O64="b",O64="bs"),M68,))</f>
        <v>MAJCAN, Lovro</v>
      </c>
      <c r="Q64" s="602"/>
      <c r="R64" s="26"/>
    </row>
    <row r="65" spans="1:18" ht="12.75" customHeight="1" x14ac:dyDescent="0.2">
      <c r="A65" s="27">
        <v>29</v>
      </c>
      <c r="B65" s="28">
        <f>IF($D65="","",VLOOKUP($D65,'Si GT priprema'!$A$11:$F$50,5))</f>
        <v>0</v>
      </c>
      <c r="C65" s="28" t="str">
        <f>IF($D65="","",UPPER(IF(OR(VLOOKUP($D65,'Si GT priprema'!$A$11:$F$50,6)=0,VLOOKUP($D65,'Si GT priprema'!$A$11:$F$50,6)="DA"),"",VLOOKUP($D65,'Si GT priprema'!$A$11:$F$50,6))))</f>
        <v>Q</v>
      </c>
      <c r="D65" s="142">
        <v>26</v>
      </c>
      <c r="E65" s="594" t="str">
        <f>IF($D65="","",UPPER(VLOOKUP($D65,'Si GT priprema'!$A$11:$F$50,2))&amp;", "&amp;VLOOKUP($D65,'Si GT priprema'!$A$11:$F$50,3))</f>
        <v>BENČEC, Benjamin</v>
      </c>
      <c r="F65" s="595"/>
      <c r="G65" s="121" t="str">
        <f>IF($D65="","",UPPER(VLOOKUP($D65,'Si GT priprema'!$A$11:$F$50,4)))</f>
        <v>TTC</v>
      </c>
      <c r="H65" s="26"/>
      <c r="I65" s="26"/>
      <c r="J65" s="26"/>
      <c r="K65" s="26"/>
      <c r="L65" s="26"/>
      <c r="M65" s="26"/>
      <c r="N65" s="26"/>
      <c r="O65" s="33"/>
      <c r="P65" s="152" t="s">
        <v>519</v>
      </c>
      <c r="Q65" s="26"/>
      <c r="R65" s="26"/>
    </row>
    <row r="66" spans="1:18" ht="12.75" customHeight="1" x14ac:dyDescent="0.2">
      <c r="A66" s="30"/>
      <c r="B66" s="31"/>
      <c r="C66" s="31"/>
      <c r="D66" s="36"/>
      <c r="E66" s="123"/>
      <c r="F66" s="235"/>
      <c r="G66" s="232" t="s">
        <v>77</v>
      </c>
      <c r="H66" s="150" t="s">
        <v>315</v>
      </c>
      <c r="I66" s="596" t="str">
        <f>IF(OR(H66="a",H66="as"),E65,IF(OR(H66="b",H66="bs"),E67,))</f>
        <v>ĐEREK, Nikola</v>
      </c>
      <c r="J66" s="598"/>
      <c r="K66" s="598"/>
      <c r="L66" s="598"/>
      <c r="M66" s="26"/>
      <c r="N66" s="26"/>
      <c r="O66" s="33"/>
      <c r="P66" s="26"/>
      <c r="Q66" s="26"/>
      <c r="R66" s="26"/>
    </row>
    <row r="67" spans="1:18" ht="12.75" customHeight="1" x14ac:dyDescent="0.2">
      <c r="A67" s="27">
        <v>30</v>
      </c>
      <c r="B67" s="28">
        <f>IF($D67="","",VLOOKUP($D67,'Si GT priprema'!$A$11:$F$50,5))</f>
        <v>69</v>
      </c>
      <c r="C67" s="28" t="str">
        <f>IF($D67="","",UPPER(IF(OR(VLOOKUP($D67,'Si GT priprema'!$A$11:$F$50,6)=0,VLOOKUP($D67,'Si GT priprema'!$A$11:$F$50,6)="DA"),"",VLOOKUP($D67,'Si GT priprema'!$A$11:$F$50,6))))</f>
        <v>Q</v>
      </c>
      <c r="D67" s="142">
        <v>17</v>
      </c>
      <c r="E67" s="594" t="str">
        <f>IF($D67="","",UPPER(VLOOKUP($D67,'Si GT priprema'!$A$11:$F$50,2))&amp;", "&amp;VLOOKUP($D67,'Si GT priprema'!$A$11:$F$50,3))</f>
        <v>ĐEREK, Nikola</v>
      </c>
      <c r="F67" s="595"/>
      <c r="G67" s="121" t="str">
        <f>IF($D67="","",UPPER(VLOOKUP($D67,'Si GT priprema'!$A$11:$F$50,4)))</f>
        <v>MDV</v>
      </c>
      <c r="H67" s="35"/>
      <c r="I67" s="152" t="s">
        <v>512</v>
      </c>
      <c r="J67" s="26"/>
      <c r="K67" s="26"/>
      <c r="L67" s="33"/>
      <c r="M67" s="26"/>
      <c r="N67" s="26"/>
      <c r="O67" s="33"/>
      <c r="P67" s="26"/>
      <c r="Q67" s="26"/>
      <c r="R67" s="26"/>
    </row>
    <row r="68" spans="1:18" ht="12.75" customHeight="1" x14ac:dyDescent="0.2">
      <c r="A68" s="30"/>
      <c r="B68" s="31"/>
      <c r="C68" s="31"/>
      <c r="D68" s="36"/>
      <c r="E68" s="123"/>
      <c r="F68" s="25"/>
      <c r="G68" s="26"/>
      <c r="H68" s="26"/>
      <c r="I68" s="26"/>
      <c r="J68" s="26"/>
      <c r="K68" s="233" t="s">
        <v>77</v>
      </c>
      <c r="L68" s="151" t="s">
        <v>598</v>
      </c>
      <c r="M68" s="596" t="str">
        <f>IF(OR(L68="a",L68="as"),I66,IF(OR(L68="b",L68="bs"),I70,))</f>
        <v>MAJCAN, Lovro</v>
      </c>
      <c r="N68" s="597"/>
      <c r="O68" s="602"/>
      <c r="P68" s="26"/>
      <c r="Q68" s="26"/>
      <c r="R68" s="26"/>
    </row>
    <row r="69" spans="1:18" ht="12.75" customHeight="1" x14ac:dyDescent="0.2">
      <c r="A69" s="27">
        <v>31</v>
      </c>
      <c r="B69" s="28">
        <f>IF($D69="","",VLOOKUP($D69,'Si GT priprema'!$A$11:$F$50,5))</f>
        <v>85</v>
      </c>
      <c r="C69" s="28" t="str">
        <f>IF($D69="","",UPPER(IF(OR(VLOOKUP($D69,'Si GT priprema'!$A$11:$F$50,6)=0,VLOOKUP($D69,'Si GT priprema'!$A$11:$F$50,6)="DA"),"",VLOOKUP($D69,'Si GT priprema'!$A$11:$F$50,6))))</f>
        <v>Q</v>
      </c>
      <c r="D69" s="142">
        <v>20</v>
      </c>
      <c r="E69" s="594" t="str">
        <f>IF($D69="","",UPPER(VLOOKUP($D69,'Si GT priprema'!$A$11:$F$50,2))&amp;", "&amp;VLOOKUP($D69,'Si GT priprema'!$A$11:$F$50,3))</f>
        <v>KARAČIĆ, Vilim</v>
      </c>
      <c r="F69" s="595"/>
      <c r="G69" s="121" t="str">
        <f>IF($D69="","",UPPER(VLOOKUP($D69,'Si GT priprema'!$A$11:$F$50,4)))</f>
        <v>TER</v>
      </c>
      <c r="H69" s="26"/>
      <c r="I69" s="26"/>
      <c r="J69" s="26"/>
      <c r="K69" s="26"/>
      <c r="L69" s="33"/>
      <c r="M69" s="152" t="s">
        <v>493</v>
      </c>
      <c r="N69" s="26"/>
      <c r="O69" s="26"/>
      <c r="P69" s="26"/>
      <c r="Q69" s="26"/>
      <c r="R69" s="26"/>
    </row>
    <row r="70" spans="1:18" ht="12.75" customHeight="1" x14ac:dyDescent="0.2">
      <c r="A70" s="30"/>
      <c r="B70" s="31"/>
      <c r="C70" s="31"/>
      <c r="D70" s="36"/>
      <c r="E70" s="123"/>
      <c r="F70" s="235"/>
      <c r="G70" s="232" t="s">
        <v>77</v>
      </c>
      <c r="H70" s="150" t="s">
        <v>554</v>
      </c>
      <c r="I70" s="596" t="str">
        <f>IF(OR(H70="a",H70="as"),E69,IF(OR(H70="b",H70="bs"),E71,))</f>
        <v>MAJCAN, Lovro</v>
      </c>
      <c r="J70" s="598"/>
      <c r="K70" s="598"/>
      <c r="L70" s="599"/>
      <c r="M70" s="26"/>
      <c r="N70" s="26"/>
      <c r="O70" s="26"/>
      <c r="P70" s="26"/>
      <c r="Q70" s="26"/>
      <c r="R70" s="26"/>
    </row>
    <row r="71" spans="1:18" ht="12.75" customHeight="1" x14ac:dyDescent="0.2">
      <c r="A71" s="126">
        <v>32</v>
      </c>
      <c r="B71" s="28">
        <f>IF($D71="","",VLOOKUP($D71,'Si GT priprema'!$A$11:$F$50,5))</f>
        <v>13</v>
      </c>
      <c r="C71" s="28" t="str">
        <f>IF($D71="","",UPPER(IF(OR(VLOOKUP($D71,'Si GT priprema'!$A$11:$F$50,6)=0,VLOOKUP($D71,'Si GT priprema'!$A$11:$F$50,6)="DA"),"",VLOOKUP($D71,'Si GT priprema'!$A$11:$F$50,6))))</f>
        <v/>
      </c>
      <c r="D71" s="142">
        <v>2</v>
      </c>
      <c r="E71" s="594" t="str">
        <f>IF($D71="","",UPPER(VLOOKUP($D71,'Si GT priprema'!$A$11:$F$50,2))&amp;", "&amp;VLOOKUP($D71,'Si GT priprema'!$A$11:$F$50,3))</f>
        <v>MAJCAN, Lovro</v>
      </c>
      <c r="F71" s="595"/>
      <c r="G71" s="121" t="str">
        <f>IF($D71="","",UPPER(VLOOKUP($D71,'Si GT priprema'!$A$11:$F$50,4)))</f>
        <v>SAM</v>
      </c>
      <c r="H71" s="35"/>
      <c r="I71" s="152" t="s">
        <v>515</v>
      </c>
      <c r="J71" s="26"/>
      <c r="K71" s="26"/>
      <c r="L71" s="26"/>
      <c r="M71" s="26"/>
      <c r="N71" s="26"/>
      <c r="O71" s="26"/>
      <c r="P71" s="26"/>
      <c r="Q71" s="26"/>
      <c r="R71" s="26"/>
    </row>
    <row r="72" spans="1:18" ht="12.75" customHeight="1" x14ac:dyDescent="0.2">
      <c r="A72" s="30"/>
      <c r="B72" s="13"/>
      <c r="C72" s="13"/>
      <c r="D72" s="13"/>
      <c r="E72" s="13"/>
      <c r="F72" s="13"/>
      <c r="G72" s="13"/>
      <c r="H72" s="13"/>
      <c r="I72" s="13"/>
      <c r="J72" s="13"/>
      <c r="K72" s="13"/>
      <c r="L72" s="13"/>
      <c r="M72" s="13"/>
      <c r="N72" s="13"/>
      <c r="O72" s="13"/>
      <c r="P72" s="13"/>
      <c r="Q72" s="13"/>
      <c r="R72" s="37"/>
    </row>
    <row r="73" spans="1:18" ht="12" customHeight="1" x14ac:dyDescent="0.2">
      <c r="A73" s="44" t="s">
        <v>76</v>
      </c>
      <c r="B73" s="45"/>
      <c r="C73" s="46"/>
      <c r="D73" s="47" t="s">
        <v>14</v>
      </c>
      <c r="E73" s="45" t="s">
        <v>15</v>
      </c>
      <c r="F73" s="48"/>
      <c r="G73" s="48"/>
      <c r="H73" s="48"/>
      <c r="I73" s="46"/>
      <c r="J73" s="49" t="s">
        <v>14</v>
      </c>
      <c r="K73" s="45" t="s">
        <v>25</v>
      </c>
      <c r="L73" s="50"/>
      <c r="M73" s="50"/>
      <c r="N73" s="45"/>
      <c r="O73" s="46"/>
      <c r="P73" s="45" t="s">
        <v>16</v>
      </c>
      <c r="Q73" s="48"/>
      <c r="R73" s="548" t="s">
        <v>548</v>
      </c>
    </row>
    <row r="74" spans="1:18" ht="12" customHeight="1" x14ac:dyDescent="0.2">
      <c r="A74" s="51" t="s">
        <v>17</v>
      </c>
      <c r="B74" s="52"/>
      <c r="C74" s="53"/>
      <c r="D74" s="54">
        <v>1</v>
      </c>
      <c r="E74" s="40" t="str">
        <f>IF(VLOOKUP($D74,'Si GT priprema'!$A$11:$G$50,5)&gt;0,UPPER(VLOOKUP($D74,'Si GT priprema'!$A$11:$G$50,2))&amp;", "&amp;(VLOOKUP($D74,'Si GT priprema'!$A$11:$G$50,3))&amp;" ["&amp;(VLOOKUP($D74,'Si GT priprema'!$A$11:$G$50,5))&amp;"]","")</f>
        <v>VUKADIN, Noa [9]</v>
      </c>
      <c r="F74" s="54"/>
      <c r="G74" s="55"/>
      <c r="H74" s="40"/>
      <c r="I74" s="56"/>
      <c r="J74" s="57">
        <v>1</v>
      </c>
      <c r="K74" s="139"/>
      <c r="L74" s="58"/>
      <c r="M74" s="58"/>
      <c r="N74" s="139"/>
      <c r="O74" s="56"/>
      <c r="P74" s="59" t="s">
        <v>19</v>
      </c>
      <c r="Q74" s="52"/>
      <c r="R74" s="60"/>
    </row>
    <row r="75" spans="1:18" ht="12" customHeight="1" x14ac:dyDescent="0.2">
      <c r="A75" s="603" t="str">
        <f>Pocetna!$B$14</f>
        <v>01.04.2016.</v>
      </c>
      <c r="B75" s="604"/>
      <c r="C75" s="605"/>
      <c r="D75" s="54">
        <v>2</v>
      </c>
      <c r="E75" s="40" t="str">
        <f>IF(VLOOKUP($D75,'Si GT priprema'!$A$11:$G$50,5)&gt;0,UPPER(VLOOKUP($D75,'Si GT priprema'!$A$11:$G$50,2))&amp;", "&amp;(VLOOKUP($D75,'Si GT priprema'!$A$11:$G$50,3))&amp;" ["&amp;(VLOOKUP($D75,'Si GT priprema'!$A$11:$G$50,5))&amp;"]","")</f>
        <v>MAJCAN, Lovro [13]</v>
      </c>
      <c r="F75" s="54"/>
      <c r="G75" s="55"/>
      <c r="H75" s="40"/>
      <c r="I75" s="56"/>
      <c r="J75" s="57">
        <v>2</v>
      </c>
      <c r="K75" s="139"/>
      <c r="L75" s="58"/>
      <c r="M75" s="58"/>
      <c r="N75" s="139"/>
      <c r="O75" s="56"/>
      <c r="P75" s="156" t="s">
        <v>343</v>
      </c>
      <c r="Q75" s="62"/>
      <c r="R75" s="63"/>
    </row>
    <row r="76" spans="1:18" ht="12" customHeight="1" x14ac:dyDescent="0.2">
      <c r="A76" s="135" t="s">
        <v>23</v>
      </c>
      <c r="B76" s="40"/>
      <c r="C76" s="65"/>
      <c r="D76" s="54">
        <v>3</v>
      </c>
      <c r="E76" s="40" t="str">
        <f>IF(VLOOKUP($D76,'Si GT priprema'!$A$11:$G$50,5)&gt;0,UPPER(VLOOKUP($D76,'Si GT priprema'!$A$11:$G$50,2))&amp;", "&amp;(VLOOKUP($D76,'Si GT priprema'!$A$11:$G$50,3))&amp;" ["&amp;(VLOOKUP($D76,'Si GT priprema'!$A$11:$G$50,5))&amp;"]","")</f>
        <v>DOŠEN, Luka [17]</v>
      </c>
      <c r="F76" s="54"/>
      <c r="G76" s="55"/>
      <c r="H76" s="40"/>
      <c r="I76" s="56"/>
      <c r="J76" s="168"/>
      <c r="K76" s="139"/>
      <c r="L76" s="58"/>
      <c r="M76" s="58"/>
      <c r="N76" s="139"/>
      <c r="O76" s="56"/>
      <c r="P76" s="59" t="s">
        <v>22</v>
      </c>
      <c r="Q76" s="52"/>
      <c r="R76" s="60"/>
    </row>
    <row r="77" spans="1:18" ht="12" customHeight="1" x14ac:dyDescent="0.2">
      <c r="A77" s="64" t="s">
        <v>26</v>
      </c>
      <c r="B77" s="58"/>
      <c r="C77" s="65">
        <f>$B$9</f>
        <v>9</v>
      </c>
      <c r="D77" s="54">
        <v>4</v>
      </c>
      <c r="E77" s="40" t="str">
        <f>IF(VLOOKUP($D77,'Si GT priprema'!$A$11:$G$50,5)&gt;0,UPPER(VLOOKUP($D77,'Si GT priprema'!$A$11:$G$50,2))&amp;", "&amp;(VLOOKUP($D77,'Si GT priprema'!$A$11:$G$50,3))&amp;" ["&amp;(VLOOKUP($D77,'Si GT priprema'!$A$11:$G$50,5))&amp;"]","")</f>
        <v>BOBAN, Viktor [18]</v>
      </c>
      <c r="F77" s="54"/>
      <c r="G77" s="55"/>
      <c r="H77" s="40"/>
      <c r="I77" s="56"/>
      <c r="J77" s="168"/>
      <c r="K77" s="139"/>
      <c r="L77" s="58"/>
      <c r="M77" s="58"/>
      <c r="N77" s="140"/>
      <c r="O77" s="56"/>
      <c r="P77" s="156" t="s">
        <v>346</v>
      </c>
      <c r="Q77" s="58"/>
      <c r="R77" s="56"/>
    </row>
    <row r="78" spans="1:18" ht="12" customHeight="1" x14ac:dyDescent="0.2">
      <c r="A78" s="64" t="s">
        <v>18</v>
      </c>
      <c r="B78" s="58"/>
      <c r="C78" s="143">
        <v>44</v>
      </c>
      <c r="D78" s="54">
        <v>5</v>
      </c>
      <c r="E78" s="40" t="str">
        <f>IF(VLOOKUP($D78,'Si GT priprema'!$A$11:$G$50,5)&gt;0,UPPER(VLOOKUP($D78,'Si GT priprema'!$A$11:$G$50,2))&amp;", "&amp;(VLOOKUP($D78,'Si GT priprema'!$A$11:$G$50,3))&amp;" ["&amp;(VLOOKUP($D78,'Si GT priprema'!$A$11:$G$50,5))&amp;"]","")</f>
        <v>ŠKREB, Daniel [30]</v>
      </c>
      <c r="F78" s="54"/>
      <c r="G78" s="55"/>
      <c r="H78" s="40"/>
      <c r="I78" s="56"/>
      <c r="J78" s="168"/>
      <c r="K78" s="139"/>
      <c r="L78" s="58"/>
      <c r="M78" s="58"/>
      <c r="N78" s="140"/>
      <c r="O78" s="56"/>
      <c r="P78" s="141" t="s">
        <v>550</v>
      </c>
      <c r="Q78" s="62"/>
      <c r="R78" s="63"/>
    </row>
    <row r="79" spans="1:18" ht="12" customHeight="1" x14ac:dyDescent="0.2">
      <c r="A79" s="135" t="s">
        <v>24</v>
      </c>
      <c r="B79" s="40"/>
      <c r="C79" s="65"/>
      <c r="D79" s="54">
        <v>6</v>
      </c>
      <c r="E79" s="40" t="str">
        <f>IF(VLOOKUP($D79,'Si GT priprema'!$A$11:$G$50,5)&gt;0,UPPER(VLOOKUP($D79,'Si GT priprema'!$A$11:$G$50,2))&amp;", "&amp;(VLOOKUP($D79,'Si GT priprema'!$A$11:$G$50,3))&amp;" ["&amp;(VLOOKUP($D79,'Si GT priprema'!$A$11:$G$50,5))&amp;"]","")</f>
        <v>NIKOLIĆ, Erik [36]</v>
      </c>
      <c r="F79" s="54"/>
      <c r="G79" s="55"/>
      <c r="H79" s="40"/>
      <c r="I79" s="56"/>
      <c r="J79" s="66" t="s">
        <v>21</v>
      </c>
      <c r="K79" s="52"/>
      <c r="L79" s="52"/>
      <c r="M79" s="52"/>
      <c r="N79" s="67"/>
      <c r="O79" s="60"/>
      <c r="P79" s="59" t="s">
        <v>20</v>
      </c>
      <c r="Q79" s="52"/>
      <c r="R79" s="60"/>
    </row>
    <row r="80" spans="1:18" ht="12" customHeight="1" x14ac:dyDescent="0.2">
      <c r="A80" s="64" t="s">
        <v>26</v>
      </c>
      <c r="B80" s="58"/>
      <c r="C80" s="65">
        <f>$B$9</f>
        <v>9</v>
      </c>
      <c r="D80" s="54">
        <v>7</v>
      </c>
      <c r="E80" s="40" t="str">
        <f>IF(VLOOKUP($D80,'Si GT priprema'!$A$11:$G$50,5)&gt;0,UPPER(VLOOKUP($D80,'Si GT priprema'!$A$11:$G$50,2))&amp;", "&amp;(VLOOKUP($D80,'Si GT priprema'!$A$11:$G$50,3))&amp;" ["&amp;(VLOOKUP($D80,'Si GT priprema'!$A$11:$G$50,5))&amp;"]","")</f>
        <v>SALOPEK, Dorian [42]</v>
      </c>
      <c r="F80" s="54"/>
      <c r="G80" s="55"/>
      <c r="H80" s="40"/>
      <c r="I80" s="56"/>
      <c r="J80" s="531" t="str">
        <f>Pocetna!$F$14</f>
        <v xml:space="preserve">Boris Lumpert </v>
      </c>
      <c r="K80" s="58"/>
      <c r="L80" s="58"/>
      <c r="M80" s="58"/>
      <c r="N80" s="58"/>
      <c r="O80" s="56"/>
      <c r="P80" s="64"/>
      <c r="Q80" s="58"/>
      <c r="R80" s="56"/>
    </row>
    <row r="81" spans="1:18" ht="12" customHeight="1" x14ac:dyDescent="0.2">
      <c r="A81" s="61" t="s">
        <v>18</v>
      </c>
      <c r="B81" s="62"/>
      <c r="C81" s="144" t="s">
        <v>549</v>
      </c>
      <c r="D81" s="69">
        <v>8</v>
      </c>
      <c r="E81" s="62" t="str">
        <f>IF(VLOOKUP($D81,'Si GT priprema'!$A$11:$G$50,5)&gt;0,UPPER(VLOOKUP($D81,'Si GT priprema'!$A$11:$G$50,2))&amp;", "&amp;(VLOOKUP($D81,'Si GT priprema'!$A$11:$G$50,3))&amp;" ["&amp;(VLOOKUP($D81,'Si GT priprema'!$A$11:$G$50,5))&amp;"]","")</f>
        <v>NOTHIG, Karlo [44]</v>
      </c>
      <c r="F81" s="69"/>
      <c r="G81" s="70"/>
      <c r="H81" s="62"/>
      <c r="I81" s="63"/>
      <c r="J81" s="532">
        <f>Pocetna!$F$15</f>
        <v>0</v>
      </c>
      <c r="K81" s="62"/>
      <c r="L81" s="62"/>
      <c r="M81" s="62"/>
      <c r="N81" s="62"/>
      <c r="O81" s="63"/>
      <c r="P81" s="61" t="str">
        <f>Pocetna!$F$12</f>
        <v>Mladen Šančić</v>
      </c>
      <c r="Q81" s="62"/>
      <c r="R81" s="63"/>
    </row>
    <row r="82" spans="1:18" ht="13.5" customHeight="1" x14ac:dyDescent="0.2">
      <c r="A82" s="13"/>
      <c r="B82" s="13"/>
      <c r="C82" s="13"/>
      <c r="D82" s="13"/>
      <c r="E82" s="13"/>
      <c r="F82" s="13"/>
      <c r="G82" s="13"/>
      <c r="H82" s="13"/>
      <c r="I82" s="13"/>
      <c r="J82" s="13"/>
      <c r="K82" s="13"/>
      <c r="L82" s="13"/>
      <c r="M82" s="13"/>
      <c r="N82" s="13"/>
      <c r="O82" s="13"/>
      <c r="P82" s="13"/>
      <c r="Q82" s="13"/>
      <c r="R82" s="13"/>
    </row>
    <row r="83" spans="1:18" ht="13.5" customHeight="1" x14ac:dyDescent="0.2">
      <c r="A83" s="13"/>
      <c r="B83" s="13"/>
      <c r="C83" s="13"/>
      <c r="D83" s="13"/>
      <c r="E83" s="13"/>
      <c r="F83" s="13"/>
      <c r="G83" s="13"/>
      <c r="H83" s="13"/>
      <c r="I83" s="13"/>
      <c r="J83" s="13"/>
      <c r="K83" s="13"/>
      <c r="L83" s="13"/>
      <c r="M83" s="13"/>
      <c r="N83" s="19"/>
      <c r="O83" s="13"/>
      <c r="P83" s="13"/>
      <c r="Q83" s="13"/>
      <c r="R83" s="13"/>
    </row>
    <row r="84" spans="1:18" ht="13.5" customHeight="1" x14ac:dyDescent="0.2">
      <c r="A84" s="13"/>
      <c r="B84" s="13"/>
      <c r="C84" s="13"/>
      <c r="D84" s="13"/>
      <c r="E84" s="13"/>
      <c r="F84" s="13"/>
      <c r="G84" s="13"/>
      <c r="H84" s="13"/>
      <c r="I84" s="13"/>
      <c r="J84" s="13"/>
      <c r="K84" s="13"/>
      <c r="L84" s="13"/>
      <c r="M84" s="13"/>
      <c r="N84" s="19"/>
      <c r="O84" s="13"/>
      <c r="P84" s="13"/>
      <c r="Q84" s="13"/>
      <c r="R84" s="13"/>
    </row>
    <row r="85" spans="1:18" ht="13.5" customHeight="1" x14ac:dyDescent="0.2">
      <c r="A85" s="13"/>
      <c r="B85" s="13"/>
      <c r="C85" s="13"/>
      <c r="D85" s="13"/>
      <c r="E85" s="13"/>
      <c r="F85" s="13"/>
      <c r="G85" s="13"/>
      <c r="H85" s="13"/>
      <c r="I85" s="13"/>
      <c r="J85" s="13"/>
      <c r="K85" s="13"/>
      <c r="L85" s="13"/>
      <c r="M85" s="13"/>
      <c r="N85" s="19"/>
      <c r="O85" s="13"/>
      <c r="P85" s="13"/>
      <c r="Q85" s="13"/>
      <c r="R85" s="13"/>
    </row>
  </sheetData>
  <sheetProtection sort="0" autoFilter="0"/>
  <mergeCells count="64">
    <mergeCell ref="E69:F69"/>
    <mergeCell ref="I70:L70"/>
    <mergeCell ref="E71:F71"/>
    <mergeCell ref="A75:C75"/>
    <mergeCell ref="E63:F63"/>
    <mergeCell ref="I50:L50"/>
    <mergeCell ref="E51:F51"/>
    <mergeCell ref="E31:F31"/>
    <mergeCell ref="E49:F49"/>
    <mergeCell ref="E37:F37"/>
    <mergeCell ref="I38:L38"/>
    <mergeCell ref="E39:F39"/>
    <mergeCell ref="E41:F41"/>
    <mergeCell ref="I42:L42"/>
    <mergeCell ref="E43:F43"/>
    <mergeCell ref="P64:Q64"/>
    <mergeCell ref="E65:F65"/>
    <mergeCell ref="I66:L66"/>
    <mergeCell ref="M52:O52"/>
    <mergeCell ref="E53:F53"/>
    <mergeCell ref="I54:L54"/>
    <mergeCell ref="E55:F55"/>
    <mergeCell ref="I62:L62"/>
    <mergeCell ref="M68:O68"/>
    <mergeCell ref="E57:F57"/>
    <mergeCell ref="I58:L58"/>
    <mergeCell ref="E59:F59"/>
    <mergeCell ref="M60:O60"/>
    <mergeCell ref="E61:F61"/>
    <mergeCell ref="E67:F67"/>
    <mergeCell ref="M44:O44"/>
    <mergeCell ref="E45:F45"/>
    <mergeCell ref="I46:L46"/>
    <mergeCell ref="E47:F47"/>
    <mergeCell ref="P48:Q48"/>
    <mergeCell ref="P32:Q32"/>
    <mergeCell ref="E33:F33"/>
    <mergeCell ref="I34:L34"/>
    <mergeCell ref="E35:F35"/>
    <mergeCell ref="M36:O36"/>
    <mergeCell ref="P16:Q16"/>
    <mergeCell ref="I30:L30"/>
    <mergeCell ref="I18:L18"/>
    <mergeCell ref="E19:F19"/>
    <mergeCell ref="M20:O20"/>
    <mergeCell ref="E21:F21"/>
    <mergeCell ref="I22:L22"/>
    <mergeCell ref="E23:F23"/>
    <mergeCell ref="E25:F25"/>
    <mergeCell ref="I26:L26"/>
    <mergeCell ref="E27:F27"/>
    <mergeCell ref="M28:O28"/>
    <mergeCell ref="E29:F29"/>
    <mergeCell ref="E17:F17"/>
    <mergeCell ref="E6:F6"/>
    <mergeCell ref="I6:K6"/>
    <mergeCell ref="M6:N6"/>
    <mergeCell ref="E9:F9"/>
    <mergeCell ref="I10:L10"/>
    <mergeCell ref="E11:F11"/>
    <mergeCell ref="M12:O12"/>
    <mergeCell ref="E13:F13"/>
    <mergeCell ref="I14:L14"/>
    <mergeCell ref="E15:F15"/>
  </mergeCells>
  <conditionalFormatting sqref="I10 R56 I14 I18 M20 M28 P16 I22 I26 I30 I34 M36 M44 P32 I38 I42 I46 I50 M52 M60 P48 I54 I58 I62 I66 I70 M68 P64 R24 M12">
    <cfRule type="expression" dxfId="59" priority="10" stopIfTrue="1">
      <formula>H10="as"</formula>
    </cfRule>
    <cfRule type="expression" dxfId="58" priority="11" stopIfTrue="1">
      <formula>H10="bs"</formula>
    </cfRule>
  </conditionalFormatting>
  <conditionalFormatting sqref="G10 G14 G18 G22 K12 K20 G26 G30 G34 G38 K28 K36 G42 G46 G50 G54 K44 K52 G58 G62 G66 G70 K60 K68 N16 N32 N48 N64 P56 P41 P24">
    <cfRule type="expression" dxfId="57" priority="12" stopIfTrue="1">
      <formula>AND($P$1="Sudac",G10=$U$1)</formula>
    </cfRule>
    <cfRule type="expression" dxfId="56" priority="13" stopIfTrue="1">
      <formula>AND($P$1="Sudac",G10&lt;&gt;$U$1,H10&lt;&gt;"")</formula>
    </cfRule>
    <cfRule type="expression" dxfId="55" priority="14" stopIfTrue="1">
      <formula>AND($P$1="Sudac",G10&lt;&gt;$U$1)</formula>
    </cfRule>
  </conditionalFormatting>
  <conditionalFormatting sqref="C78 C81 P75 P77">
    <cfRule type="expression" dxfId="54" priority="17" stopIfTrue="1">
      <formula>C75="xx"</formula>
    </cfRule>
    <cfRule type="expression" dxfId="53" priority="18" stopIfTrue="1">
      <formula>C75=""</formula>
    </cfRule>
  </conditionalFormatting>
  <conditionalFormatting sqref="R73">
    <cfRule type="expression" dxfId="52" priority="15" stopIfTrue="1">
      <formula>R73="dd.mm.gggg. / ss:mm"</formula>
    </cfRule>
    <cfRule type="expression" dxfId="51" priority="16" stopIfTrue="1">
      <formula>R73=""</formula>
    </cfRule>
  </conditionalFormatting>
  <conditionalFormatting sqref="A23 A39 A41 A57">
    <cfRule type="expression" dxfId="50" priority="8" stopIfTrue="1">
      <formula>$S$2=8</formula>
    </cfRule>
  </conditionalFormatting>
  <conditionalFormatting sqref="D78:E81">
    <cfRule type="expression" dxfId="49" priority="9" stopIfTrue="1">
      <formula>AND($S$2=4,$D$9&gt;0)</formula>
    </cfRule>
  </conditionalFormatting>
  <conditionalFormatting sqref="D9 D11 D13 D15 D17 D19 D21 D23 D25 D27 D29 D31 D33 D35 D37 D39 D41 D43 D45 D47 D49 D51 D53 D55 D57 D59 D61 D63 D65 D67 D69 D71">
    <cfRule type="expression" dxfId="48" priority="3" stopIfTrue="1">
      <formula>OR(AND($S$2=4,$D9&gt;0,$D9&lt;5,$B9&gt;0),AND($S$2=8,$D9&gt;0,$D9&lt;9,$B9&gt;0))</formula>
    </cfRule>
    <cfRule type="expression" dxfId="47" priority="5" stopIfTrue="1">
      <formula>OR($D9&gt;8,$E9="Bye",AND($S$2=4,$D9&gt;4))</formula>
    </cfRule>
  </conditionalFormatting>
  <conditionalFormatting sqref="E9 E11 E13 E15 E17 E19 E21 E23 E25 E27 E29 E31 E33 E35 E37 E39 E41 E43 E45 E47 E49 E51 E53 E55 E57 E59 E61 E63 E65 E67 E69 E71">
    <cfRule type="expression" dxfId="46" priority="6" stopIfTrue="1">
      <formula>OR(AND($S$2=4,$D9&gt;0,$D9&lt;5,$B9&gt;0),AND($S$2=8,$D9&gt;0,$D9&lt;9,$B9&gt;0))</formula>
    </cfRule>
    <cfRule type="expression" dxfId="45" priority="7" stopIfTrue="1">
      <formula>OR($D$11&gt;8,$E9="Bye",AND($S$2=4,$D9&gt;4))</formula>
    </cfRule>
  </conditionalFormatting>
  <conditionalFormatting sqref="R40">
    <cfRule type="expression" dxfId="44" priority="1" stopIfTrue="1">
      <formula>Q41="as"</formula>
    </cfRule>
    <cfRule type="expression" dxfId="43" priority="2" stopIfTrue="1">
      <formula>Q41="bs"</formula>
    </cfRule>
  </conditionalFormatting>
  <dataValidations disablePrompts="1" count="2">
    <dataValidation type="list" allowBlank="1" showInputMessage="1" showErrorMessage="1" promptTitle="Broj nositelja" prompt="Odaberi !!!_x000a_07-10 igrača - 2 nositelja_x000a_11-20 igrača - 4 nositelja_x000a_21-32 igrača - 8 nositelja" sqref="S2">
      <formula1>$T$3:$T$4</formula1>
    </dataValidation>
    <dataValidation type="list" allowBlank="1" showInputMessage="1" sqref="G10 P24 P41 P56 N64 N48 N32 N16 K68 K60 G70 G66 G62 G58 K52 K44 G54 G50 G46 G42 K36 K28 G38 G34 G30 G26 K20 K12 G22 G18 G14">
      <formula1>$U$1:$U$17</formula1>
    </dataValidation>
  </dataValidations>
  <printOptions horizontalCentered="1" verticalCentered="1"/>
  <pageMargins left="0.19685039370078741" right="0.19685039370078741" top="0.19685039370078741" bottom="0.39370078740157483" header="0.19685039370078741" footer="0.39370078740157483"/>
  <pageSetup paperSize="9" scale="75"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Line="0" autoPict="0" macro="[0]!Sudac_SA">
                <anchor>
                  <from>
                    <xdr:col>15</xdr:col>
                    <xdr:colOff>0</xdr:colOff>
                    <xdr:row>0</xdr:row>
                    <xdr:rowOff>0</xdr:rowOff>
                  </from>
                  <to>
                    <xdr:col>15</xdr:col>
                    <xdr:colOff>647700</xdr:colOff>
                    <xdr:row>0</xdr:row>
                    <xdr:rowOff>266700</xdr:rowOff>
                  </to>
                </anchor>
              </controlPr>
            </control>
          </mc:Choice>
        </mc:AlternateContent>
        <mc:AlternateContent xmlns:mc="http://schemas.openxmlformats.org/markup-compatibility/2006">
          <mc:Choice Requires="x14">
            <control shapeId="44034" r:id="rId5" name="Button 2">
              <controlPr defaultSize="0" print="0" autoFill="0" autoLine="0" autoPict="0" macro="[0]!Sudac_BEZ">
                <anchor>
                  <from>
                    <xdr:col>15</xdr:col>
                    <xdr:colOff>666750</xdr:colOff>
                    <xdr:row>0</xdr:row>
                    <xdr:rowOff>0</xdr:rowOff>
                  </from>
                  <to>
                    <xdr:col>16</xdr:col>
                    <xdr:colOff>0</xdr:colOff>
                    <xdr:row>0</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401" enableFormatConditionsCalculation="0">
    <tabColor indexed="24"/>
  </sheetPr>
  <dimension ref="A1:R267"/>
  <sheetViews>
    <sheetView showGridLines="0" showRowColHeaders="0" showZeros="0" view="pageBreakPreview" zoomScaleNormal="100" workbookViewId="0">
      <pane ySplit="10" topLeftCell="A28" activePane="bottomLeft" state="frozenSplit"/>
      <selection activeCell="D18" sqref="D18"/>
      <selection pane="bottomLeft" activeCell="C37" sqref="C37"/>
    </sheetView>
  </sheetViews>
  <sheetFormatPr defaultRowHeight="12.75" x14ac:dyDescent="0.2"/>
  <cols>
    <col min="1" max="1" width="3.7109375" style="14" customWidth="1"/>
    <col min="2" max="2" width="20.7109375" style="14" customWidth="1"/>
    <col min="3" max="3" width="15.7109375" style="14" customWidth="1"/>
    <col min="4" max="7" width="8.7109375" style="14" customWidth="1"/>
    <col min="8" max="8" width="20.7109375" style="14" customWidth="1"/>
    <col min="9" max="9" width="9.140625" style="14"/>
    <col min="10" max="10" width="9.140625" style="14" hidden="1" customWidth="1"/>
    <col min="11" max="11" width="15.7109375" style="14" hidden="1" customWidth="1"/>
    <col min="12" max="14" width="9.140625" style="14" hidden="1" customWidth="1"/>
    <col min="15" max="15" width="15.7109375" style="14" hidden="1" customWidth="1"/>
    <col min="16" max="16384" width="9.140625" style="14"/>
  </cols>
  <sheetData>
    <row r="1" spans="1:18" ht="22.5" x14ac:dyDescent="0.3">
      <c r="A1" s="11" t="str">
        <f>Pocetna!$B$7</f>
        <v xml:space="preserve">OP SAMOBORA </v>
      </c>
      <c r="B1" s="12"/>
      <c r="C1" s="12"/>
      <c r="D1" s="12"/>
      <c r="E1" s="12"/>
      <c r="F1" s="13"/>
      <c r="G1" s="13"/>
      <c r="H1" s="271"/>
      <c r="I1" s="13"/>
      <c r="K1" s="13"/>
      <c r="L1" s="13"/>
      <c r="M1" s="13"/>
      <c r="N1" s="166" t="s">
        <v>100</v>
      </c>
      <c r="O1" s="13"/>
      <c r="P1" s="13"/>
      <c r="Q1" s="13"/>
      <c r="R1" s="13"/>
    </row>
    <row r="2" spans="1:18" ht="15" x14ac:dyDescent="0.2">
      <c r="A2" s="39" t="str">
        <f>Pocetna!$B$10</f>
        <v>dječaci do 12 god.</v>
      </c>
      <c r="B2" s="39"/>
      <c r="C2" s="39"/>
      <c r="D2" s="39"/>
      <c r="E2" s="39"/>
      <c r="F2" s="13"/>
      <c r="G2" s="13"/>
      <c r="H2" s="271"/>
      <c r="I2" s="15"/>
      <c r="K2" s="15"/>
      <c r="M2" s="15"/>
      <c r="N2" s="447" t="s">
        <v>80</v>
      </c>
      <c r="O2" s="13"/>
      <c r="P2" s="13"/>
      <c r="Q2" s="13"/>
      <c r="R2" s="16"/>
    </row>
    <row r="3" spans="1:18" ht="13.5" customHeight="1" thickBot="1" x14ac:dyDescent="0.25">
      <c r="A3" s="39"/>
      <c r="B3" s="39"/>
      <c r="C3" s="39"/>
      <c r="D3" s="73" t="s">
        <v>166</v>
      </c>
      <c r="E3" s="39"/>
      <c r="F3" s="13"/>
      <c r="G3" s="13"/>
      <c r="H3" s="13"/>
      <c r="I3" s="15"/>
      <c r="J3" s="84"/>
      <c r="K3" s="85"/>
      <c r="L3" s="86"/>
      <c r="M3" s="85"/>
      <c r="N3" s="167" t="s">
        <v>310</v>
      </c>
      <c r="O3" s="13"/>
      <c r="P3" s="13"/>
      <c r="Q3" s="13"/>
      <c r="R3" s="16"/>
    </row>
    <row r="4" spans="1:18" ht="13.5" customHeight="1" x14ac:dyDescent="0.2">
      <c r="A4" s="17"/>
      <c r="B4" s="17"/>
      <c r="C4" s="17"/>
      <c r="D4" s="73" t="s">
        <v>167</v>
      </c>
      <c r="E4" s="17"/>
      <c r="F4" s="17"/>
      <c r="G4" s="41"/>
      <c r="H4" s="41" t="str">
        <f>Pocetna!$F$11</f>
        <v>Vrhovni sudac</v>
      </c>
      <c r="I4" s="17"/>
      <c r="K4" s="176"/>
      <c r="L4" s="159"/>
      <c r="M4" s="176"/>
      <c r="N4" s="159"/>
      <c r="O4" s="15"/>
      <c r="P4" s="15"/>
      <c r="Q4" s="15"/>
      <c r="R4" s="18"/>
    </row>
    <row r="5" spans="1:18" ht="13.5" customHeight="1" thickBot="1" x14ac:dyDescent="0.25">
      <c r="A5" s="40" t="str">
        <f>Pocetna!$B$11</f>
        <v>Datum turnira</v>
      </c>
      <c r="B5" s="40"/>
      <c r="C5" s="40" t="str">
        <f>Pocetna!$D$11</f>
        <v>Organizator</v>
      </c>
      <c r="D5" s="40"/>
      <c r="E5" s="40" t="str">
        <f>Pocetna!$E$11</f>
        <v>Mjesto</v>
      </c>
      <c r="F5" s="40"/>
      <c r="G5" s="37"/>
      <c r="H5" s="37" t="str">
        <f>Pocetna!$F$12</f>
        <v>Mladen Šančić</v>
      </c>
      <c r="J5" s="90"/>
      <c r="K5" s="176"/>
      <c r="L5" s="176"/>
      <c r="M5" s="159"/>
      <c r="N5" s="159"/>
    </row>
    <row r="6" spans="1:18" ht="13.5" customHeight="1" x14ac:dyDescent="0.2">
      <c r="A6" s="42" t="str">
        <f>Pocetna!$B$12</f>
        <v>(22.)24.-26.04.2016.</v>
      </c>
      <c r="B6" s="42"/>
      <c r="C6" s="42" t="str">
        <f>Pocetna!$D$12</f>
        <v>TK Samobor1890</v>
      </c>
      <c r="D6" s="42"/>
      <c r="E6" s="42" t="str">
        <f>Pocetna!$E$12</f>
        <v>Samobor</v>
      </c>
      <c r="F6" s="42"/>
      <c r="G6" s="74" t="s">
        <v>20</v>
      </c>
      <c r="H6" s="72"/>
      <c r="J6" s="91"/>
      <c r="K6" s="176"/>
      <c r="L6" s="92"/>
      <c r="M6" s="93"/>
      <c r="N6" s="93"/>
    </row>
    <row r="7" spans="1:18" ht="13.5" customHeight="1" x14ac:dyDescent="0.2">
      <c r="A7" s="40" t="str">
        <f>Pocetna!$C$11</f>
        <v>ID turnira</v>
      </c>
      <c r="B7" s="40"/>
      <c r="C7" s="40"/>
      <c r="D7" s="40"/>
      <c r="E7" s="40"/>
      <c r="F7" s="76"/>
      <c r="G7" s="77"/>
      <c r="H7" s="78"/>
      <c r="J7" s="177"/>
      <c r="K7" s="93"/>
      <c r="L7" s="178"/>
      <c r="M7" s="178"/>
      <c r="N7" s="93"/>
    </row>
    <row r="8" spans="1:18" ht="13.5" customHeight="1" thickBot="1" x14ac:dyDescent="0.25">
      <c r="A8" s="42" t="str">
        <f>Pocetna!$C$12</f>
        <v>R12_20160422_SAM</v>
      </c>
      <c r="B8" s="38"/>
      <c r="C8" s="42"/>
      <c r="D8" s="19"/>
      <c r="E8" s="19"/>
      <c r="F8" s="76">
        <f>$K$5</f>
        <v>0</v>
      </c>
      <c r="G8" s="77"/>
      <c r="H8" s="78"/>
      <c r="J8" s="177"/>
      <c r="K8" s="93"/>
      <c r="L8" s="99"/>
      <c r="M8" s="99"/>
      <c r="N8" s="93"/>
    </row>
    <row r="9" spans="1:18" ht="13.5" hidden="1" customHeight="1" thickBot="1" x14ac:dyDescent="0.25">
      <c r="A9" s="42"/>
      <c r="B9" s="38"/>
      <c r="C9" s="42"/>
      <c r="D9" s="19"/>
      <c r="E9" s="19"/>
      <c r="G9" s="79"/>
      <c r="H9" s="80"/>
      <c r="J9" s="98"/>
      <c r="K9" s="102"/>
      <c r="L9" s="30">
        <f>SUM(L11:L49)</f>
        <v>0</v>
      </c>
      <c r="M9" s="30">
        <f>SUM(M11:M49)</f>
        <v>0</v>
      </c>
      <c r="N9" s="103">
        <f>SUM(N11:N49)</f>
        <v>0</v>
      </c>
    </row>
    <row r="10" spans="1:18" ht="30" customHeight="1" thickBot="1" x14ac:dyDescent="0.25">
      <c r="A10" s="261" t="s">
        <v>61</v>
      </c>
      <c r="B10" s="75" t="s">
        <v>55</v>
      </c>
      <c r="C10" s="75" t="s">
        <v>56</v>
      </c>
      <c r="D10" s="75" t="s">
        <v>1</v>
      </c>
      <c r="E10" s="75" t="s">
        <v>76</v>
      </c>
      <c r="F10" s="75" t="s">
        <v>57</v>
      </c>
      <c r="G10" s="268" t="s">
        <v>112</v>
      </c>
      <c r="H10" s="262" t="s">
        <v>73</v>
      </c>
      <c r="J10" s="179"/>
      <c r="K10" s="180"/>
      <c r="L10" s="181"/>
      <c r="M10" s="181"/>
      <c r="N10" s="182"/>
      <c r="O10" s="108" t="s">
        <v>34</v>
      </c>
    </row>
    <row r="11" spans="1:18" ht="20.25" customHeight="1" x14ac:dyDescent="0.2">
      <c r="A11" s="82">
        <v>1</v>
      </c>
      <c r="B11" s="478" t="s">
        <v>367</v>
      </c>
      <c r="C11" s="478" t="s">
        <v>368</v>
      </c>
      <c r="D11" s="471" t="s">
        <v>322</v>
      </c>
      <c r="E11" s="471">
        <v>44</v>
      </c>
      <c r="F11" s="471" t="s">
        <v>100</v>
      </c>
      <c r="G11" s="471">
        <v>1</v>
      </c>
      <c r="H11" s="472"/>
      <c r="J11" s="109"/>
      <c r="K11" s="110" t="str">
        <f>IF(OR(B11&gt;0,C11&gt;0),PROPER(C11)&amp;" "&amp;UPPER(B11)&amp;" ("&amp;D11&amp;")","")</f>
        <v>Karlo NOTHIG (ITE)</v>
      </c>
      <c r="L11" s="109"/>
      <c r="M11" s="109"/>
      <c r="N11" s="109"/>
      <c r="O11" s="111" t="s">
        <v>440</v>
      </c>
    </row>
    <row r="12" spans="1:18" ht="20.25" customHeight="1" x14ac:dyDescent="0.2">
      <c r="A12" s="82">
        <v>2</v>
      </c>
      <c r="B12" s="478" t="s">
        <v>369</v>
      </c>
      <c r="C12" s="478" t="s">
        <v>370</v>
      </c>
      <c r="D12" s="471" t="s">
        <v>87</v>
      </c>
      <c r="E12" s="471">
        <v>46</v>
      </c>
      <c r="F12" s="538" t="s">
        <v>100</v>
      </c>
      <c r="G12" s="471">
        <v>2</v>
      </c>
      <c r="H12" s="472"/>
      <c r="J12" s="109"/>
      <c r="K12" s="112" t="str">
        <f>IF(OR(B12&gt;0,C12&gt;0),PROPER(C12)&amp;" "&amp;UPPER(B12)&amp;" ("&amp;D12&amp;")","")</f>
        <v>Josip BOBOK (IMZ)</v>
      </c>
      <c r="L12" s="109"/>
      <c r="M12" s="109"/>
      <c r="N12" s="109"/>
      <c r="O12" s="113" t="s">
        <v>441</v>
      </c>
    </row>
    <row r="13" spans="1:18" ht="20.25" customHeight="1" x14ac:dyDescent="0.2">
      <c r="A13" s="82">
        <v>3</v>
      </c>
      <c r="B13" s="478" t="s">
        <v>371</v>
      </c>
      <c r="C13" s="478" t="s">
        <v>372</v>
      </c>
      <c r="D13" s="471" t="s">
        <v>92</v>
      </c>
      <c r="E13" s="471">
        <v>49</v>
      </c>
      <c r="F13" s="538" t="s">
        <v>100</v>
      </c>
      <c r="G13" s="471">
        <v>3</v>
      </c>
      <c r="H13" s="472"/>
      <c r="J13" s="109"/>
      <c r="K13" s="112" t="str">
        <f>IF(OR(B13&gt;0,C13&gt;0),PROPER(C13)&amp;" "&amp;UPPER(B13)&amp;" ("&amp;D13&amp;")","")</f>
        <v>Antonio VOLJAVEC (PON)</v>
      </c>
      <c r="L13" s="109"/>
      <c r="M13" s="109"/>
      <c r="N13" s="109"/>
      <c r="O13" s="113" t="s">
        <v>442</v>
      </c>
    </row>
    <row r="14" spans="1:18" ht="20.25" customHeight="1" x14ac:dyDescent="0.2">
      <c r="A14" s="82">
        <v>4</v>
      </c>
      <c r="B14" s="478" t="s">
        <v>373</v>
      </c>
      <c r="C14" s="478" t="s">
        <v>374</v>
      </c>
      <c r="D14" s="471" t="s">
        <v>345</v>
      </c>
      <c r="E14" s="471">
        <v>51</v>
      </c>
      <c r="F14" s="538" t="s">
        <v>100</v>
      </c>
      <c r="G14" s="471">
        <v>4</v>
      </c>
      <c r="H14" s="472"/>
      <c r="J14" s="109"/>
      <c r="K14" s="112" t="str">
        <f t="shared" ref="K14:K76" si="0">IF(OR(B14&gt;0,C14&gt;0),PROPER(C14)&amp;" "&amp;UPPER(B14)&amp;" ("&amp;D14&amp;")","")</f>
        <v>Domagoj ŠTABEK (TER)</v>
      </c>
      <c r="L14" s="109"/>
      <c r="M14" s="109"/>
      <c r="N14" s="109"/>
      <c r="O14" s="113" t="s">
        <v>443</v>
      </c>
    </row>
    <row r="15" spans="1:18" ht="20.25" customHeight="1" x14ac:dyDescent="0.2">
      <c r="A15" s="82">
        <v>5</v>
      </c>
      <c r="B15" s="478" t="s">
        <v>375</v>
      </c>
      <c r="C15" s="478" t="s">
        <v>356</v>
      </c>
      <c r="D15" s="471" t="s">
        <v>92</v>
      </c>
      <c r="E15" s="471">
        <v>57</v>
      </c>
      <c r="F15" s="538" t="s">
        <v>100</v>
      </c>
      <c r="G15" s="471">
        <v>5</v>
      </c>
      <c r="H15" s="472"/>
      <c r="J15" s="109"/>
      <c r="K15" s="112" t="str">
        <f t="shared" si="0"/>
        <v>Luka KRSTANOVIĆ (PON)</v>
      </c>
      <c r="L15" s="109"/>
      <c r="M15" s="109"/>
      <c r="N15" s="109"/>
      <c r="O15" s="113" t="s">
        <v>444</v>
      </c>
    </row>
    <row r="16" spans="1:18" ht="20.25" customHeight="1" x14ac:dyDescent="0.2">
      <c r="A16" s="82">
        <v>6</v>
      </c>
      <c r="B16" s="478" t="s">
        <v>376</v>
      </c>
      <c r="C16" s="478" t="s">
        <v>377</v>
      </c>
      <c r="D16" s="471" t="s">
        <v>322</v>
      </c>
      <c r="E16" s="471">
        <v>62</v>
      </c>
      <c r="F16" s="538" t="s">
        <v>100</v>
      </c>
      <c r="G16" s="471">
        <v>6</v>
      </c>
      <c r="H16" s="472"/>
      <c r="J16" s="109"/>
      <c r="K16" s="112" t="str">
        <f t="shared" si="0"/>
        <v>Filip DUBOVEČAK (ITE)</v>
      </c>
      <c r="L16" s="109"/>
      <c r="M16" s="109"/>
      <c r="N16" s="109"/>
      <c r="O16" s="113" t="s">
        <v>445</v>
      </c>
    </row>
    <row r="17" spans="1:15" ht="20.25" customHeight="1" x14ac:dyDescent="0.2">
      <c r="A17" s="82">
        <v>7</v>
      </c>
      <c r="B17" s="478" t="s">
        <v>378</v>
      </c>
      <c r="C17" s="478" t="s">
        <v>379</v>
      </c>
      <c r="D17" s="471" t="s">
        <v>326</v>
      </c>
      <c r="E17" s="471">
        <v>63</v>
      </c>
      <c r="F17" s="538" t="s">
        <v>100</v>
      </c>
      <c r="G17" s="471">
        <v>7</v>
      </c>
      <c r="H17" s="472"/>
      <c r="J17" s="109"/>
      <c r="K17" s="112" t="str">
        <f t="shared" si="0"/>
        <v>Vid MARIĆ (TSP)</v>
      </c>
      <c r="L17" s="109"/>
      <c r="M17" s="109"/>
      <c r="N17" s="109"/>
      <c r="O17" s="113" t="s">
        <v>446</v>
      </c>
    </row>
    <row r="18" spans="1:15" ht="20.25" customHeight="1" x14ac:dyDescent="0.2">
      <c r="A18" s="82">
        <v>8</v>
      </c>
      <c r="B18" s="478" t="s">
        <v>380</v>
      </c>
      <c r="C18" s="478" t="s">
        <v>381</v>
      </c>
      <c r="D18" s="539" t="s">
        <v>345</v>
      </c>
      <c r="E18" s="539">
        <v>66</v>
      </c>
      <c r="F18" s="539" t="s">
        <v>100</v>
      </c>
      <c r="G18" s="539">
        <v>8</v>
      </c>
      <c r="H18" s="472"/>
      <c r="J18" s="109"/>
      <c r="K18" s="112" t="str">
        <f t="shared" si="0"/>
        <v>Tin KRŽIĆ (TER)</v>
      </c>
      <c r="L18" s="109"/>
      <c r="M18" s="109"/>
      <c r="N18" s="109"/>
      <c r="O18" s="113" t="s">
        <v>486</v>
      </c>
    </row>
    <row r="19" spans="1:15" ht="20.25" customHeight="1" x14ac:dyDescent="0.2">
      <c r="A19" s="82">
        <v>9</v>
      </c>
      <c r="B19" s="478" t="s">
        <v>382</v>
      </c>
      <c r="C19" s="478" t="s">
        <v>383</v>
      </c>
      <c r="D19" s="539" t="s">
        <v>322</v>
      </c>
      <c r="E19" s="539">
        <v>67</v>
      </c>
      <c r="F19" s="539" t="s">
        <v>100</v>
      </c>
      <c r="G19" s="539">
        <v>9</v>
      </c>
      <c r="H19" s="472"/>
      <c r="J19" s="109"/>
      <c r="K19" s="112" t="str">
        <f>IF(OR(B19&gt;0,C19&gt;0),PROPER(C19)&amp;" "&amp;UPPER(B19)&amp;" ("&amp;D19&amp;")","")</f>
        <v>Max Ivan HORVATIĆ (ITE)</v>
      </c>
      <c r="L19" s="109"/>
      <c r="M19" s="109"/>
      <c r="N19" s="109"/>
      <c r="O19" s="113" t="s">
        <v>447</v>
      </c>
    </row>
    <row r="20" spans="1:15" ht="20.25" customHeight="1" x14ac:dyDescent="0.2">
      <c r="A20" s="82">
        <v>10</v>
      </c>
      <c r="B20" s="478" t="s">
        <v>384</v>
      </c>
      <c r="C20" s="478" t="s">
        <v>385</v>
      </c>
      <c r="D20" s="471" t="s">
        <v>89</v>
      </c>
      <c r="E20" s="471">
        <v>69</v>
      </c>
      <c r="F20" s="538" t="s">
        <v>100</v>
      </c>
      <c r="G20" s="471">
        <v>10</v>
      </c>
      <c r="H20" s="472"/>
      <c r="J20" s="109"/>
      <c r="K20" s="112" t="str">
        <f>IF(OR(B20&gt;0,C20&gt;0),PROPER(C20)&amp;" "&amp;UPPER(B20)&amp;" ("&amp;D20&amp;")","")</f>
        <v>Nikola ĐEREK (MDV)</v>
      </c>
      <c r="L20" s="109"/>
      <c r="M20" s="109"/>
      <c r="N20" s="109"/>
      <c r="O20" s="113" t="s">
        <v>448</v>
      </c>
    </row>
    <row r="21" spans="1:15" ht="20.25" customHeight="1" x14ac:dyDescent="0.2">
      <c r="A21" s="82">
        <v>11</v>
      </c>
      <c r="B21" s="478" t="s">
        <v>386</v>
      </c>
      <c r="C21" s="478" t="s">
        <v>387</v>
      </c>
      <c r="D21" s="471" t="s">
        <v>85</v>
      </c>
      <c r="E21" s="471">
        <v>72</v>
      </c>
      <c r="F21" s="538" t="s">
        <v>100</v>
      </c>
      <c r="G21" s="471">
        <v>11</v>
      </c>
      <c r="H21" s="472"/>
      <c r="J21" s="109"/>
      <c r="K21" s="112" t="str">
        <f t="shared" si="0"/>
        <v>Leopold ŠANTIĆ (DID)</v>
      </c>
      <c r="L21" s="109"/>
      <c r="M21" s="109"/>
      <c r="N21" s="109"/>
      <c r="O21" s="113" t="s">
        <v>449</v>
      </c>
    </row>
    <row r="22" spans="1:15" ht="20.25" customHeight="1" x14ac:dyDescent="0.2">
      <c r="A22" s="82">
        <v>12</v>
      </c>
      <c r="B22" s="478" t="s">
        <v>388</v>
      </c>
      <c r="C22" s="478" t="s">
        <v>389</v>
      </c>
      <c r="D22" s="471" t="s">
        <v>91</v>
      </c>
      <c r="E22" s="471">
        <v>75</v>
      </c>
      <c r="F22" s="538" t="s">
        <v>100</v>
      </c>
      <c r="G22" s="471">
        <v>12</v>
      </c>
      <c r="H22" s="472"/>
      <c r="J22" s="109"/>
      <c r="K22" s="112" t="str">
        <f t="shared" si="0"/>
        <v>Kristijan KOLIĆ (OG)</v>
      </c>
      <c r="L22" s="109"/>
      <c r="M22" s="109"/>
      <c r="N22" s="109"/>
      <c r="O22" s="113" t="s">
        <v>450</v>
      </c>
    </row>
    <row r="23" spans="1:15" ht="20.25" customHeight="1" x14ac:dyDescent="0.2">
      <c r="A23" s="82">
        <v>13</v>
      </c>
      <c r="B23" s="478" t="s">
        <v>390</v>
      </c>
      <c r="C23" s="478" t="s">
        <v>391</v>
      </c>
      <c r="D23" s="471" t="s">
        <v>348</v>
      </c>
      <c r="E23" s="471">
        <v>85</v>
      </c>
      <c r="F23" s="538" t="s">
        <v>100</v>
      </c>
      <c r="G23" s="471">
        <v>13</v>
      </c>
      <c r="H23" s="472"/>
      <c r="J23" s="109"/>
      <c r="K23" s="112" t="str">
        <f t="shared" si="0"/>
        <v>Marko BRADVIĆ (GMJ)</v>
      </c>
      <c r="L23" s="109"/>
      <c r="M23" s="109"/>
      <c r="N23" s="109"/>
      <c r="O23" s="113" t="s">
        <v>451</v>
      </c>
    </row>
    <row r="24" spans="1:15" ht="20.25" customHeight="1" x14ac:dyDescent="0.2">
      <c r="A24" s="82">
        <v>14</v>
      </c>
      <c r="B24" s="478" t="s">
        <v>392</v>
      </c>
      <c r="C24" s="478" t="s">
        <v>393</v>
      </c>
      <c r="D24" s="471" t="s">
        <v>345</v>
      </c>
      <c r="E24" s="471">
        <v>85</v>
      </c>
      <c r="F24" s="538" t="s">
        <v>100</v>
      </c>
      <c r="G24" s="471">
        <v>14</v>
      </c>
      <c r="H24" s="472"/>
      <c r="J24" s="109"/>
      <c r="K24" s="112" t="str">
        <f t="shared" si="0"/>
        <v>Vilim KARAČIĆ (TER)</v>
      </c>
      <c r="L24" s="109"/>
      <c r="M24" s="109"/>
      <c r="N24" s="109"/>
      <c r="O24" s="113" t="s">
        <v>452</v>
      </c>
    </row>
    <row r="25" spans="1:15" ht="20.25" customHeight="1" x14ac:dyDescent="0.2">
      <c r="A25" s="82">
        <v>15</v>
      </c>
      <c r="B25" s="478" t="s">
        <v>394</v>
      </c>
      <c r="C25" s="478" t="s">
        <v>395</v>
      </c>
      <c r="D25" s="471" t="s">
        <v>349</v>
      </c>
      <c r="E25" s="471">
        <v>94</v>
      </c>
      <c r="F25" s="538" t="s">
        <v>100</v>
      </c>
      <c r="G25" s="471">
        <v>15</v>
      </c>
      <c r="H25" s="472"/>
      <c r="J25" s="109"/>
      <c r="K25" s="112" t="str">
        <f t="shared" si="0"/>
        <v>Vito CEREZIN (TTC)</v>
      </c>
      <c r="L25" s="109"/>
      <c r="M25" s="109"/>
      <c r="N25" s="109"/>
      <c r="O25" s="113" t="s">
        <v>453</v>
      </c>
    </row>
    <row r="26" spans="1:15" ht="20.25" customHeight="1" x14ac:dyDescent="0.2">
      <c r="A26" s="82">
        <v>16</v>
      </c>
      <c r="B26" s="478" t="s">
        <v>396</v>
      </c>
      <c r="C26" s="478" t="s">
        <v>397</v>
      </c>
      <c r="D26" s="471" t="s">
        <v>88</v>
      </c>
      <c r="E26" s="471">
        <v>99</v>
      </c>
      <c r="F26" s="538" t="s">
        <v>100</v>
      </c>
      <c r="G26" s="471">
        <v>16</v>
      </c>
      <c r="H26" s="472"/>
      <c r="J26" s="109"/>
      <c r="K26" s="112" t="str">
        <f t="shared" si="0"/>
        <v>Mario POPOVIĆ (KVA)</v>
      </c>
      <c r="L26" s="109"/>
      <c r="M26" s="109"/>
      <c r="N26" s="109"/>
      <c r="O26" s="113" t="s">
        <v>454</v>
      </c>
    </row>
    <row r="27" spans="1:15" ht="20.25" customHeight="1" x14ac:dyDescent="0.2">
      <c r="A27" s="82">
        <v>17</v>
      </c>
      <c r="B27" s="478" t="s">
        <v>437</v>
      </c>
      <c r="C27" s="478" t="s">
        <v>438</v>
      </c>
      <c r="D27" s="471" t="s">
        <v>350</v>
      </c>
      <c r="E27" s="471">
        <v>105</v>
      </c>
      <c r="F27" s="538" t="s">
        <v>100</v>
      </c>
      <c r="G27" s="471">
        <v>17</v>
      </c>
      <c r="H27" s="472"/>
      <c r="J27" s="109"/>
      <c r="K27" s="112" t="str">
        <f t="shared" si="0"/>
        <v>Matija BULOVIĆ (RAL)</v>
      </c>
      <c r="L27" s="109"/>
      <c r="M27" s="109"/>
      <c r="N27" s="109"/>
      <c r="O27" s="113" t="s">
        <v>455</v>
      </c>
    </row>
    <row r="28" spans="1:15" ht="20.25" customHeight="1" x14ac:dyDescent="0.2">
      <c r="A28" s="82">
        <v>18</v>
      </c>
      <c r="B28" s="478" t="s">
        <v>398</v>
      </c>
      <c r="C28" s="478" t="s">
        <v>399</v>
      </c>
      <c r="D28" s="471" t="s">
        <v>90</v>
      </c>
      <c r="E28" s="471">
        <v>105</v>
      </c>
      <c r="F28" s="538" t="s">
        <v>100</v>
      </c>
      <c r="G28" s="471">
        <v>18</v>
      </c>
      <c r="H28" s="472"/>
      <c r="J28" s="109"/>
      <c r="K28" s="112" t="str">
        <f t="shared" si="0"/>
        <v>Jurica JAMIĆ (MOV)</v>
      </c>
      <c r="L28" s="109"/>
      <c r="M28" s="109"/>
      <c r="N28" s="109"/>
      <c r="O28" s="113" t="s">
        <v>456</v>
      </c>
    </row>
    <row r="29" spans="1:15" ht="20.25" customHeight="1" x14ac:dyDescent="0.2">
      <c r="A29" s="82">
        <v>19</v>
      </c>
      <c r="B29" s="478" t="s">
        <v>400</v>
      </c>
      <c r="C29" s="478" t="s">
        <v>356</v>
      </c>
      <c r="D29" s="471" t="s">
        <v>322</v>
      </c>
      <c r="E29" s="471">
        <v>105</v>
      </c>
      <c r="F29" s="538" t="s">
        <v>100</v>
      </c>
      <c r="G29" s="471">
        <v>19</v>
      </c>
      <c r="H29" s="472"/>
      <c r="J29" s="109"/>
      <c r="K29" s="112" t="str">
        <f t="shared" si="0"/>
        <v>Luka JURLINA (ITE)</v>
      </c>
      <c r="L29" s="109"/>
      <c r="M29" s="109"/>
      <c r="N29" s="109"/>
      <c r="O29" s="113" t="s">
        <v>457</v>
      </c>
    </row>
    <row r="30" spans="1:15" ht="20.25" customHeight="1" x14ac:dyDescent="0.2">
      <c r="A30" s="82">
        <v>20</v>
      </c>
      <c r="B30" s="478" t="s">
        <v>401</v>
      </c>
      <c r="C30" s="478" t="s">
        <v>402</v>
      </c>
      <c r="D30" s="471" t="s">
        <v>316</v>
      </c>
      <c r="E30" s="471">
        <v>105</v>
      </c>
      <c r="F30" s="538" t="s">
        <v>100</v>
      </c>
      <c r="G30" s="471">
        <v>20</v>
      </c>
      <c r="H30" s="472"/>
      <c r="J30" s="109"/>
      <c r="K30" s="112" t="str">
        <f t="shared" si="0"/>
        <v>Denis MUŠOVIĆ (VUL)</v>
      </c>
      <c r="L30" s="109"/>
      <c r="M30" s="109"/>
      <c r="N30" s="109"/>
      <c r="O30" s="113" t="s">
        <v>458</v>
      </c>
    </row>
    <row r="31" spans="1:15" ht="20.25" customHeight="1" x14ac:dyDescent="0.2">
      <c r="A31" s="82">
        <v>21</v>
      </c>
      <c r="B31" s="478" t="s">
        <v>403</v>
      </c>
      <c r="C31" s="478" t="s">
        <v>404</v>
      </c>
      <c r="D31" s="471" t="s">
        <v>322</v>
      </c>
      <c r="E31" s="471"/>
      <c r="F31" s="538" t="s">
        <v>100</v>
      </c>
      <c r="G31" s="471"/>
      <c r="H31" s="472"/>
      <c r="J31" s="109"/>
      <c r="K31" s="112" t="str">
        <f t="shared" si="0"/>
        <v>Tom ANĐELKOVIĆ (ITE)</v>
      </c>
      <c r="L31" s="109"/>
      <c r="M31" s="109"/>
      <c r="N31" s="109"/>
      <c r="O31" s="113" t="s">
        <v>459</v>
      </c>
    </row>
    <row r="32" spans="1:15" ht="20.25" customHeight="1" x14ac:dyDescent="0.2">
      <c r="A32" s="82">
        <v>22</v>
      </c>
      <c r="B32" s="478" t="s">
        <v>436</v>
      </c>
      <c r="C32" s="478" t="s">
        <v>356</v>
      </c>
      <c r="D32" s="471" t="s">
        <v>350</v>
      </c>
      <c r="E32" s="471"/>
      <c r="F32" s="538" t="s">
        <v>100</v>
      </c>
      <c r="G32" s="471"/>
      <c r="H32" s="472"/>
      <c r="J32" s="109"/>
      <c r="K32" s="112" t="str">
        <f t="shared" si="0"/>
        <v>Luka BAŠIĆ (RAL)</v>
      </c>
      <c r="L32" s="109"/>
      <c r="M32" s="109"/>
      <c r="N32" s="109"/>
      <c r="O32" s="113" t="s">
        <v>460</v>
      </c>
    </row>
    <row r="33" spans="1:15" ht="20.25" customHeight="1" x14ac:dyDescent="0.2">
      <c r="A33" s="82">
        <v>23</v>
      </c>
      <c r="B33" s="478" t="s">
        <v>406</v>
      </c>
      <c r="C33" s="478" t="s">
        <v>407</v>
      </c>
      <c r="D33" s="471" t="s">
        <v>349</v>
      </c>
      <c r="E33" s="471"/>
      <c r="F33" s="538" t="s">
        <v>100</v>
      </c>
      <c r="G33" s="471"/>
      <c r="H33" s="472"/>
      <c r="J33" s="109"/>
      <c r="K33" s="112" t="str">
        <f t="shared" si="0"/>
        <v>Benjamin BENČEC (TTC)</v>
      </c>
      <c r="L33" s="109"/>
      <c r="M33" s="109"/>
      <c r="N33" s="109"/>
      <c r="O33" s="113" t="s">
        <v>461</v>
      </c>
    </row>
    <row r="34" spans="1:15" ht="20.25" customHeight="1" x14ac:dyDescent="0.2">
      <c r="A34" s="82">
        <v>24</v>
      </c>
      <c r="B34" s="543" t="s">
        <v>485</v>
      </c>
      <c r="C34" s="543" t="s">
        <v>413</v>
      </c>
      <c r="D34" s="545" t="s">
        <v>90</v>
      </c>
      <c r="E34" s="545"/>
      <c r="F34" s="545"/>
      <c r="G34" s="545"/>
      <c r="H34" s="546"/>
      <c r="J34" s="109"/>
      <c r="K34" s="112" t="str">
        <f t="shared" si="0"/>
        <v>Marin CVJETKOVIĆ (MOV)</v>
      </c>
      <c r="L34" s="109"/>
      <c r="M34" s="109"/>
      <c r="N34" s="109"/>
      <c r="O34" s="113" t="s">
        <v>462</v>
      </c>
    </row>
    <row r="35" spans="1:15" ht="20.25" customHeight="1" x14ac:dyDescent="0.2">
      <c r="A35" s="82">
        <v>25</v>
      </c>
      <c r="B35" s="478" t="s">
        <v>363</v>
      </c>
      <c r="C35" s="478" t="s">
        <v>408</v>
      </c>
      <c r="D35" s="539" t="s">
        <v>94</v>
      </c>
      <c r="E35" s="539"/>
      <c r="F35" s="539" t="s">
        <v>100</v>
      </c>
      <c r="G35" s="539"/>
      <c r="H35" s="472"/>
      <c r="J35" s="109"/>
      <c r="K35" s="112" t="str">
        <f t="shared" si="0"/>
        <v>Ivor DRAŽIĆ (SAM)</v>
      </c>
      <c r="L35" s="109"/>
      <c r="M35" s="109"/>
      <c r="N35" s="109"/>
      <c r="O35" s="113" t="s">
        <v>463</v>
      </c>
    </row>
    <row r="36" spans="1:15" ht="20.25" customHeight="1" x14ac:dyDescent="0.2">
      <c r="A36" s="82">
        <v>26</v>
      </c>
      <c r="B36" s="478" t="s">
        <v>409</v>
      </c>
      <c r="C36" s="478" t="s">
        <v>604</v>
      </c>
      <c r="D36" s="471" t="s">
        <v>322</v>
      </c>
      <c r="E36" s="471"/>
      <c r="F36" s="538" t="s">
        <v>100</v>
      </c>
      <c r="G36" s="471"/>
      <c r="H36" s="472"/>
      <c r="J36" s="109"/>
      <c r="K36" s="112" t="str">
        <f t="shared" si="0"/>
        <v>Maks Zvonimir GRDINIĆ (ITE)</v>
      </c>
      <c r="L36" s="109"/>
      <c r="M36" s="109"/>
      <c r="N36" s="109"/>
      <c r="O36" s="113" t="s">
        <v>464</v>
      </c>
    </row>
    <row r="37" spans="1:15" ht="20.25" customHeight="1" x14ac:dyDescent="0.2">
      <c r="A37" s="82">
        <v>27</v>
      </c>
      <c r="B37" s="478" t="s">
        <v>411</v>
      </c>
      <c r="C37" s="478" t="s">
        <v>74</v>
      </c>
      <c r="D37" s="471" t="s">
        <v>98</v>
      </c>
      <c r="E37" s="471"/>
      <c r="F37" s="538" t="s">
        <v>100</v>
      </c>
      <c r="G37" s="471"/>
      <c r="H37" s="472"/>
      <c r="J37" s="109"/>
      <c r="K37" s="112" t="str">
        <f t="shared" si="0"/>
        <v>Borna GRGEC (ZPR)</v>
      </c>
      <c r="L37" s="109"/>
      <c r="M37" s="109"/>
      <c r="N37" s="109"/>
      <c r="O37" s="113" t="s">
        <v>465</v>
      </c>
    </row>
    <row r="38" spans="1:15" ht="20.25" customHeight="1" x14ac:dyDescent="0.2">
      <c r="A38" s="82">
        <v>28</v>
      </c>
      <c r="B38" s="478" t="s">
        <v>412</v>
      </c>
      <c r="C38" s="478" t="s">
        <v>413</v>
      </c>
      <c r="D38" s="471" t="s">
        <v>84</v>
      </c>
      <c r="E38" s="471"/>
      <c r="F38" s="538" t="s">
        <v>80</v>
      </c>
      <c r="G38" s="471"/>
      <c r="H38" s="472"/>
      <c r="J38" s="109"/>
      <c r="K38" s="112" t="str">
        <f t="shared" si="0"/>
        <v>Marin JERIČEVIĆ (CHR)</v>
      </c>
      <c r="L38" s="109"/>
      <c r="M38" s="109"/>
      <c r="N38" s="109"/>
      <c r="O38" s="113" t="s">
        <v>466</v>
      </c>
    </row>
    <row r="39" spans="1:15" ht="20.25" customHeight="1" x14ac:dyDescent="0.2">
      <c r="A39" s="82">
        <v>29</v>
      </c>
      <c r="B39" s="478" t="s">
        <v>414</v>
      </c>
      <c r="C39" s="478" t="s">
        <v>95</v>
      </c>
      <c r="D39" s="471" t="s">
        <v>87</v>
      </c>
      <c r="E39" s="471"/>
      <c r="F39" s="538" t="s">
        <v>100</v>
      </c>
      <c r="G39" s="471"/>
      <c r="H39" s="472"/>
      <c r="J39" s="109"/>
      <c r="K39" s="112" t="str">
        <f t="shared" si="0"/>
        <v>Val KUHAR (IMZ)</v>
      </c>
      <c r="L39" s="109"/>
      <c r="M39" s="109"/>
      <c r="N39" s="109"/>
      <c r="O39" s="113" t="s">
        <v>467</v>
      </c>
    </row>
    <row r="40" spans="1:15" ht="20.25" customHeight="1" x14ac:dyDescent="0.2">
      <c r="A40" s="82">
        <v>30</v>
      </c>
      <c r="B40" s="478" t="s">
        <v>415</v>
      </c>
      <c r="C40" s="478" t="s">
        <v>395</v>
      </c>
      <c r="D40" s="471" t="s">
        <v>98</v>
      </c>
      <c r="E40" s="471"/>
      <c r="F40" s="538" t="s">
        <v>100</v>
      </c>
      <c r="G40" s="471"/>
      <c r="H40" s="472"/>
      <c r="J40" s="109"/>
      <c r="K40" s="112" t="str">
        <f t="shared" si="0"/>
        <v>Vito LUČIĆ (ZPR)</v>
      </c>
      <c r="L40" s="109"/>
      <c r="M40" s="109"/>
      <c r="N40" s="109"/>
      <c r="O40" s="113" t="s">
        <v>468</v>
      </c>
    </row>
    <row r="41" spans="1:15" ht="20.25" customHeight="1" x14ac:dyDescent="0.2">
      <c r="A41" s="82">
        <v>31</v>
      </c>
      <c r="B41" s="478" t="s">
        <v>416</v>
      </c>
      <c r="C41" s="478" t="s">
        <v>354</v>
      </c>
      <c r="D41" s="471" t="s">
        <v>322</v>
      </c>
      <c r="E41" s="471"/>
      <c r="F41" s="538" t="s">
        <v>100</v>
      </c>
      <c r="G41" s="471"/>
      <c r="H41" s="472"/>
      <c r="J41" s="109"/>
      <c r="K41" s="112" t="str">
        <f t="shared" si="0"/>
        <v>Lovro MARIČIĆ (ITE)</v>
      </c>
      <c r="L41" s="109"/>
      <c r="M41" s="109"/>
      <c r="N41" s="109"/>
      <c r="O41" s="113" t="s">
        <v>469</v>
      </c>
    </row>
    <row r="42" spans="1:15" ht="20.25" customHeight="1" x14ac:dyDescent="0.2">
      <c r="A42" s="82">
        <v>32</v>
      </c>
      <c r="B42" s="478" t="s">
        <v>378</v>
      </c>
      <c r="C42" s="478" t="s">
        <v>54</v>
      </c>
      <c r="D42" s="471" t="s">
        <v>92</v>
      </c>
      <c r="E42" s="471"/>
      <c r="F42" s="538" t="s">
        <v>100</v>
      </c>
      <c r="G42" s="471"/>
      <c r="H42" s="472"/>
      <c r="J42" s="109"/>
      <c r="K42" s="112" t="str">
        <f t="shared" si="0"/>
        <v>Hrvoje MARIĆ (PON)</v>
      </c>
      <c r="L42" s="109"/>
      <c r="M42" s="109"/>
      <c r="N42" s="109"/>
      <c r="O42" s="113" t="s">
        <v>470</v>
      </c>
    </row>
    <row r="43" spans="1:15" ht="20.25" customHeight="1" x14ac:dyDescent="0.2">
      <c r="A43" s="82">
        <v>33</v>
      </c>
      <c r="B43" s="478" t="s">
        <v>417</v>
      </c>
      <c r="C43" s="478" t="s">
        <v>354</v>
      </c>
      <c r="D43" s="471" t="s">
        <v>322</v>
      </c>
      <c r="E43" s="471"/>
      <c r="F43" s="538" t="s">
        <v>100</v>
      </c>
      <c r="G43" s="471"/>
      <c r="H43" s="472"/>
      <c r="J43" s="109"/>
      <c r="K43" s="112" t="str">
        <f t="shared" si="0"/>
        <v>Lovro MARKOTIĆ (ITE)</v>
      </c>
      <c r="L43" s="109"/>
      <c r="M43" s="109"/>
      <c r="N43" s="109"/>
      <c r="O43" s="113" t="s">
        <v>471</v>
      </c>
    </row>
    <row r="44" spans="1:15" ht="20.25" customHeight="1" x14ac:dyDescent="0.2">
      <c r="A44" s="82">
        <v>34</v>
      </c>
      <c r="B44" s="478" t="s">
        <v>418</v>
      </c>
      <c r="C44" s="478" t="s">
        <v>419</v>
      </c>
      <c r="D44" s="471" t="s">
        <v>86</v>
      </c>
      <c r="E44" s="471"/>
      <c r="F44" s="538" t="s">
        <v>100</v>
      </c>
      <c r="G44" s="471"/>
      <c r="H44" s="472"/>
      <c r="J44" s="109"/>
      <c r="K44" s="112" t="str">
        <f t="shared" si="0"/>
        <v>Fran MARTINOVIĆ (HRJ)</v>
      </c>
      <c r="L44" s="109"/>
      <c r="M44" s="109"/>
      <c r="N44" s="109"/>
      <c r="O44" s="113" t="s">
        <v>472</v>
      </c>
    </row>
    <row r="45" spans="1:15" ht="20.25" customHeight="1" x14ac:dyDescent="0.2">
      <c r="A45" s="82">
        <v>35</v>
      </c>
      <c r="B45" s="478" t="s">
        <v>435</v>
      </c>
      <c r="C45" s="478" t="s">
        <v>433</v>
      </c>
      <c r="D45" s="471" t="s">
        <v>96</v>
      </c>
      <c r="E45" s="471"/>
      <c r="F45" s="538" t="s">
        <v>100</v>
      </c>
      <c r="G45" s="471"/>
      <c r="H45" s="472"/>
      <c r="J45" s="109"/>
      <c r="K45" s="112" t="str">
        <f t="shared" si="0"/>
        <v>Edvin MINIRI (VIC)</v>
      </c>
      <c r="L45" s="109"/>
      <c r="M45" s="109"/>
      <c r="N45" s="109"/>
      <c r="O45" s="113" t="s">
        <v>473</v>
      </c>
    </row>
    <row r="46" spans="1:15" ht="20.25" customHeight="1" x14ac:dyDescent="0.2">
      <c r="A46" s="82">
        <v>36</v>
      </c>
      <c r="B46" s="478" t="s">
        <v>420</v>
      </c>
      <c r="C46" s="478" t="s">
        <v>421</v>
      </c>
      <c r="D46" s="471" t="s">
        <v>322</v>
      </c>
      <c r="E46" s="471"/>
      <c r="F46" s="538" t="s">
        <v>100</v>
      </c>
      <c r="G46" s="471"/>
      <c r="H46" s="472"/>
      <c r="J46" s="109"/>
      <c r="K46" s="112" t="str">
        <f t="shared" si="0"/>
        <v>Jakov PRGOMET (ITE)</v>
      </c>
      <c r="L46" s="109"/>
      <c r="M46" s="109"/>
      <c r="N46" s="109"/>
      <c r="O46" s="113" t="s">
        <v>474</v>
      </c>
    </row>
    <row r="47" spans="1:15" ht="20.25" customHeight="1" x14ac:dyDescent="0.2">
      <c r="A47" s="82">
        <v>37</v>
      </c>
      <c r="B47" s="478" t="s">
        <v>422</v>
      </c>
      <c r="C47" s="478" t="s">
        <v>423</v>
      </c>
      <c r="D47" s="471" t="s">
        <v>342</v>
      </c>
      <c r="E47" s="471"/>
      <c r="F47" s="538" t="s">
        <v>100</v>
      </c>
      <c r="G47" s="471"/>
      <c r="H47" s="472"/>
      <c r="J47" s="109"/>
      <c r="K47" s="112" t="str">
        <f t="shared" si="0"/>
        <v>Martin PUPIĆ (HTK)</v>
      </c>
      <c r="L47" s="109"/>
      <c r="M47" s="109"/>
      <c r="N47" s="109"/>
      <c r="O47" s="113" t="s">
        <v>475</v>
      </c>
    </row>
    <row r="48" spans="1:15" ht="20.25" customHeight="1" x14ac:dyDescent="0.2">
      <c r="A48" s="82">
        <v>38</v>
      </c>
      <c r="B48" s="478" t="s">
        <v>424</v>
      </c>
      <c r="C48" s="478" t="s">
        <v>434</v>
      </c>
      <c r="D48" s="471" t="s">
        <v>326</v>
      </c>
      <c r="E48" s="471"/>
      <c r="F48" s="538" t="s">
        <v>100</v>
      </c>
      <c r="G48" s="471"/>
      <c r="H48" s="472"/>
      <c r="J48" s="109"/>
      <c r="K48" s="112" t="str">
        <f t="shared" si="0"/>
        <v>Lun-Petre  RADIĆ (TSP)</v>
      </c>
      <c r="L48" s="109"/>
      <c r="M48" s="109"/>
      <c r="N48" s="109"/>
      <c r="O48" s="113" t="s">
        <v>476</v>
      </c>
    </row>
    <row r="49" spans="1:15" ht="20.25" customHeight="1" x14ac:dyDescent="0.2">
      <c r="A49" s="82">
        <v>39</v>
      </c>
      <c r="B49" s="478" t="s">
        <v>425</v>
      </c>
      <c r="C49" s="478" t="s">
        <v>405</v>
      </c>
      <c r="D49" s="471" t="s">
        <v>342</v>
      </c>
      <c r="E49" s="471"/>
      <c r="F49" s="538" t="s">
        <v>100</v>
      </c>
      <c r="G49" s="471"/>
      <c r="H49" s="472"/>
      <c r="J49" s="109"/>
      <c r="K49" s="112" t="str">
        <f t="shared" si="0"/>
        <v>Mihael SCHNEIDER (HTK)</v>
      </c>
      <c r="L49" s="109"/>
      <c r="M49" s="109"/>
      <c r="N49" s="109"/>
      <c r="O49" s="113" t="s">
        <v>477</v>
      </c>
    </row>
    <row r="50" spans="1:15" ht="20.25" customHeight="1" x14ac:dyDescent="0.2">
      <c r="A50" s="82">
        <v>40</v>
      </c>
      <c r="B50" s="478" t="s">
        <v>426</v>
      </c>
      <c r="C50" s="478" t="s">
        <v>427</v>
      </c>
      <c r="D50" s="471" t="s">
        <v>94</v>
      </c>
      <c r="E50" s="471"/>
      <c r="F50" s="538" t="s">
        <v>80</v>
      </c>
      <c r="G50" s="471"/>
      <c r="H50" s="472"/>
      <c r="J50" s="109"/>
      <c r="K50" s="112" t="str">
        <f t="shared" si="0"/>
        <v>Patrik SEVEROVIĆ (SAM)</v>
      </c>
      <c r="L50" s="109"/>
      <c r="M50" s="109"/>
      <c r="N50" s="109"/>
      <c r="O50" s="113" t="s">
        <v>478</v>
      </c>
    </row>
    <row r="51" spans="1:15" ht="20.25" customHeight="1" x14ac:dyDescent="0.2">
      <c r="A51" s="82">
        <v>41</v>
      </c>
      <c r="B51" s="478" t="s">
        <v>428</v>
      </c>
      <c r="C51" s="478" t="s">
        <v>429</v>
      </c>
      <c r="D51" s="471" t="s">
        <v>322</v>
      </c>
      <c r="E51" s="471"/>
      <c r="F51" s="538" t="s">
        <v>80</v>
      </c>
      <c r="G51" s="471"/>
      <c r="H51" s="472"/>
      <c r="J51" s="116"/>
      <c r="K51" s="112" t="str">
        <f t="shared" si="0"/>
        <v>Bartol STEPANIĆ (ITE)</v>
      </c>
      <c r="L51" s="118"/>
      <c r="M51" s="118"/>
      <c r="N51" s="118"/>
      <c r="O51" s="113" t="s">
        <v>479</v>
      </c>
    </row>
    <row r="52" spans="1:15" ht="20.25" customHeight="1" x14ac:dyDescent="0.2">
      <c r="A52" s="82">
        <v>42</v>
      </c>
      <c r="B52" s="478" t="s">
        <v>430</v>
      </c>
      <c r="C52" s="478" t="s">
        <v>362</v>
      </c>
      <c r="D52" s="471" t="s">
        <v>92</v>
      </c>
      <c r="E52" s="471"/>
      <c r="F52" s="538" t="s">
        <v>100</v>
      </c>
      <c r="G52" s="471"/>
      <c r="H52" s="472"/>
      <c r="J52" s="116"/>
      <c r="K52" s="112" t="str">
        <f t="shared" si="0"/>
        <v>Erik ŠAGOVAC (PON)</v>
      </c>
      <c r="L52" s="118"/>
      <c r="M52" s="118"/>
      <c r="N52" s="118"/>
      <c r="O52" s="113" t="s">
        <v>480</v>
      </c>
    </row>
    <row r="53" spans="1:15" ht="20.25" customHeight="1" x14ac:dyDescent="0.2">
      <c r="A53" s="82">
        <v>43</v>
      </c>
      <c r="B53" s="478" t="s">
        <v>431</v>
      </c>
      <c r="C53" s="478" t="s">
        <v>395</v>
      </c>
      <c r="D53" s="471" t="s">
        <v>322</v>
      </c>
      <c r="E53" s="471"/>
      <c r="F53" s="538" t="s">
        <v>100</v>
      </c>
      <c r="G53" s="471"/>
      <c r="H53" s="472"/>
      <c r="J53" s="116"/>
      <c r="K53" s="112" t="str">
        <f t="shared" si="0"/>
        <v>Vito TURČEC (ITE)</v>
      </c>
      <c r="L53" s="118"/>
      <c r="M53" s="118"/>
      <c r="N53" s="118"/>
      <c r="O53" s="113" t="s">
        <v>481</v>
      </c>
    </row>
    <row r="54" spans="1:15" ht="20.25" customHeight="1" x14ac:dyDescent="0.2">
      <c r="A54" s="82">
        <v>44</v>
      </c>
      <c r="B54" s="478" t="s">
        <v>432</v>
      </c>
      <c r="C54" s="478" t="s">
        <v>352</v>
      </c>
      <c r="D54" s="471" t="s">
        <v>86</v>
      </c>
      <c r="E54" s="471"/>
      <c r="F54" s="538" t="s">
        <v>100</v>
      </c>
      <c r="G54" s="471"/>
      <c r="H54" s="472"/>
      <c r="K54" s="112" t="str">
        <f t="shared" si="0"/>
        <v>Noa VIDUKA (HRJ)</v>
      </c>
      <c r="O54" s="113" t="s">
        <v>482</v>
      </c>
    </row>
    <row r="55" spans="1:15" ht="20.25" customHeight="1" x14ac:dyDescent="0.2">
      <c r="A55" s="82">
        <v>45</v>
      </c>
      <c r="B55" s="478"/>
      <c r="C55" s="478"/>
      <c r="D55" s="471"/>
      <c r="E55" s="471"/>
      <c r="F55" s="538"/>
      <c r="G55" s="471"/>
      <c r="H55" s="472"/>
      <c r="K55" s="112" t="str">
        <f t="shared" si="0"/>
        <v/>
      </c>
      <c r="O55" s="113" t="s">
        <v>308</v>
      </c>
    </row>
    <row r="56" spans="1:15" ht="20.25" customHeight="1" x14ac:dyDescent="0.2">
      <c r="A56" s="82">
        <v>46</v>
      </c>
      <c r="B56" s="478"/>
      <c r="C56" s="478"/>
      <c r="D56" s="471"/>
      <c r="E56" s="471"/>
      <c r="F56" s="538"/>
      <c r="G56" s="471"/>
      <c r="H56" s="472"/>
      <c r="K56" s="112" t="str">
        <f t="shared" si="0"/>
        <v/>
      </c>
      <c r="O56" s="113" t="s">
        <v>308</v>
      </c>
    </row>
    <row r="57" spans="1:15" ht="20.25" customHeight="1" x14ac:dyDescent="0.2">
      <c r="A57" s="82">
        <v>47</v>
      </c>
      <c r="B57" s="478"/>
      <c r="C57" s="478"/>
      <c r="D57" s="471"/>
      <c r="E57" s="471"/>
      <c r="F57" s="538"/>
      <c r="G57" s="471"/>
      <c r="H57" s="472"/>
      <c r="K57" s="112" t="str">
        <f t="shared" si="0"/>
        <v/>
      </c>
      <c r="O57" s="113" t="s">
        <v>308</v>
      </c>
    </row>
    <row r="58" spans="1:15" ht="20.25" customHeight="1" x14ac:dyDescent="0.2">
      <c r="A58" s="82">
        <v>48</v>
      </c>
      <c r="B58" s="478"/>
      <c r="C58" s="478"/>
      <c r="D58" s="471"/>
      <c r="E58" s="471"/>
      <c r="F58" s="471"/>
      <c r="G58" s="471"/>
      <c r="H58" s="472"/>
      <c r="K58" s="112" t="str">
        <f t="shared" si="0"/>
        <v/>
      </c>
      <c r="O58" s="113" t="s">
        <v>308</v>
      </c>
    </row>
    <row r="59" spans="1:15" ht="20.25" customHeight="1" x14ac:dyDescent="0.2">
      <c r="A59" s="82">
        <v>49</v>
      </c>
      <c r="B59" s="478"/>
      <c r="C59" s="478"/>
      <c r="D59" s="471"/>
      <c r="E59" s="471"/>
      <c r="F59" s="471"/>
      <c r="G59" s="471"/>
      <c r="H59" s="472"/>
      <c r="K59" s="112" t="str">
        <f t="shared" si="0"/>
        <v/>
      </c>
      <c r="O59" s="113" t="s">
        <v>308</v>
      </c>
    </row>
    <row r="60" spans="1:15" ht="20.25" customHeight="1" x14ac:dyDescent="0.2">
      <c r="A60" s="82">
        <v>50</v>
      </c>
      <c r="B60" s="478"/>
      <c r="C60" s="478"/>
      <c r="D60" s="471"/>
      <c r="E60" s="471"/>
      <c r="F60" s="471"/>
      <c r="G60" s="471"/>
      <c r="H60" s="472"/>
      <c r="K60" s="112" t="str">
        <f t="shared" si="0"/>
        <v/>
      </c>
      <c r="O60" s="113" t="s">
        <v>308</v>
      </c>
    </row>
    <row r="61" spans="1:15" ht="20.25" customHeight="1" x14ac:dyDescent="0.2">
      <c r="A61" s="82">
        <v>51</v>
      </c>
      <c r="B61" s="478"/>
      <c r="C61" s="478"/>
      <c r="D61" s="471"/>
      <c r="E61" s="471"/>
      <c r="F61" s="471"/>
      <c r="G61" s="471"/>
      <c r="H61" s="472"/>
      <c r="K61" s="112" t="str">
        <f t="shared" si="0"/>
        <v/>
      </c>
      <c r="O61" s="113" t="s">
        <v>308</v>
      </c>
    </row>
    <row r="62" spans="1:15" ht="20.25" customHeight="1" x14ac:dyDescent="0.2">
      <c r="A62" s="82">
        <v>52</v>
      </c>
      <c r="B62" s="478"/>
      <c r="C62" s="478"/>
      <c r="D62" s="471"/>
      <c r="E62" s="471"/>
      <c r="F62" s="471"/>
      <c r="G62" s="471"/>
      <c r="H62" s="472"/>
      <c r="K62" s="112" t="str">
        <f t="shared" si="0"/>
        <v/>
      </c>
      <c r="O62" s="113" t="s">
        <v>308</v>
      </c>
    </row>
    <row r="63" spans="1:15" ht="20.25" customHeight="1" x14ac:dyDescent="0.2">
      <c r="A63" s="82">
        <v>53</v>
      </c>
      <c r="B63" s="478"/>
      <c r="C63" s="478"/>
      <c r="D63" s="471"/>
      <c r="E63" s="471"/>
      <c r="F63" s="471"/>
      <c r="G63" s="471"/>
      <c r="H63" s="472"/>
      <c r="K63" s="112" t="str">
        <f t="shared" si="0"/>
        <v/>
      </c>
      <c r="O63" s="113" t="s">
        <v>308</v>
      </c>
    </row>
    <row r="64" spans="1:15" ht="20.25" customHeight="1" x14ac:dyDescent="0.2">
      <c r="A64" s="82">
        <v>54</v>
      </c>
      <c r="B64" s="478"/>
      <c r="C64" s="478"/>
      <c r="D64" s="471"/>
      <c r="E64" s="471"/>
      <c r="F64" s="471"/>
      <c r="G64" s="471"/>
      <c r="H64" s="472"/>
      <c r="K64" s="112" t="str">
        <f t="shared" si="0"/>
        <v/>
      </c>
      <c r="O64" s="113" t="s">
        <v>308</v>
      </c>
    </row>
    <row r="65" spans="1:15" ht="20.25" customHeight="1" x14ac:dyDescent="0.2">
      <c r="A65" s="82">
        <v>55</v>
      </c>
      <c r="B65" s="478"/>
      <c r="C65" s="478"/>
      <c r="D65" s="471"/>
      <c r="E65" s="471"/>
      <c r="F65" s="471"/>
      <c r="G65" s="471"/>
      <c r="H65" s="472"/>
      <c r="K65" s="112" t="str">
        <f t="shared" si="0"/>
        <v/>
      </c>
      <c r="O65" s="113" t="s">
        <v>308</v>
      </c>
    </row>
    <row r="66" spans="1:15" ht="20.25" customHeight="1" x14ac:dyDescent="0.2">
      <c r="A66" s="82">
        <v>56</v>
      </c>
      <c r="B66" s="478"/>
      <c r="C66" s="478"/>
      <c r="D66" s="471"/>
      <c r="E66" s="471"/>
      <c r="F66" s="471"/>
      <c r="G66" s="471"/>
      <c r="H66" s="472"/>
      <c r="K66" s="112" t="str">
        <f t="shared" si="0"/>
        <v/>
      </c>
      <c r="O66" s="113" t="s">
        <v>308</v>
      </c>
    </row>
    <row r="67" spans="1:15" ht="20.25" customHeight="1" x14ac:dyDescent="0.2">
      <c r="A67" s="82">
        <v>57</v>
      </c>
      <c r="B67" s="478"/>
      <c r="C67" s="478"/>
      <c r="D67" s="471"/>
      <c r="E67" s="471"/>
      <c r="F67" s="471"/>
      <c r="G67" s="471"/>
      <c r="H67" s="472"/>
      <c r="K67" s="112" t="str">
        <f t="shared" si="0"/>
        <v/>
      </c>
      <c r="O67" s="113" t="s">
        <v>308</v>
      </c>
    </row>
    <row r="68" spans="1:15" ht="20.25" customHeight="1" x14ac:dyDescent="0.2">
      <c r="A68" s="82">
        <v>58</v>
      </c>
      <c r="B68" s="478"/>
      <c r="C68" s="478"/>
      <c r="D68" s="471"/>
      <c r="E68" s="471"/>
      <c r="F68" s="471"/>
      <c r="G68" s="471"/>
      <c r="H68" s="472"/>
      <c r="K68" s="112" t="str">
        <f t="shared" si="0"/>
        <v/>
      </c>
      <c r="O68" s="113" t="s">
        <v>308</v>
      </c>
    </row>
    <row r="69" spans="1:15" ht="20.25" customHeight="1" x14ac:dyDescent="0.2">
      <c r="A69" s="82">
        <v>59</v>
      </c>
      <c r="B69" s="478"/>
      <c r="C69" s="478"/>
      <c r="D69" s="471"/>
      <c r="E69" s="471"/>
      <c r="F69" s="471"/>
      <c r="G69" s="471"/>
      <c r="H69" s="472"/>
      <c r="K69" s="112" t="str">
        <f t="shared" si="0"/>
        <v/>
      </c>
      <c r="O69" s="113" t="s">
        <v>308</v>
      </c>
    </row>
    <row r="70" spans="1:15" ht="20.25" customHeight="1" x14ac:dyDescent="0.2">
      <c r="A70" s="82">
        <v>60</v>
      </c>
      <c r="B70" s="478"/>
      <c r="C70" s="478"/>
      <c r="D70" s="471"/>
      <c r="E70" s="471"/>
      <c r="F70" s="471"/>
      <c r="G70" s="471"/>
      <c r="H70" s="472"/>
      <c r="K70" s="112" t="str">
        <f t="shared" si="0"/>
        <v/>
      </c>
      <c r="O70" s="113" t="s">
        <v>308</v>
      </c>
    </row>
    <row r="71" spans="1:15" ht="20.25" customHeight="1" x14ac:dyDescent="0.2">
      <c r="A71" s="82">
        <v>61</v>
      </c>
      <c r="B71" s="478"/>
      <c r="C71" s="478"/>
      <c r="D71" s="471"/>
      <c r="E71" s="471"/>
      <c r="F71" s="471"/>
      <c r="G71" s="471"/>
      <c r="H71" s="472"/>
      <c r="K71" s="112" t="str">
        <f t="shared" si="0"/>
        <v/>
      </c>
      <c r="O71" s="113" t="s">
        <v>308</v>
      </c>
    </row>
    <row r="72" spans="1:15" ht="20.25" customHeight="1" x14ac:dyDescent="0.2">
      <c r="A72" s="82">
        <v>62</v>
      </c>
      <c r="B72" s="478"/>
      <c r="C72" s="478"/>
      <c r="D72" s="471"/>
      <c r="E72" s="471"/>
      <c r="F72" s="471"/>
      <c r="G72" s="471"/>
      <c r="H72" s="472"/>
      <c r="K72" s="112" t="str">
        <f t="shared" si="0"/>
        <v/>
      </c>
      <c r="O72" s="113" t="s">
        <v>308</v>
      </c>
    </row>
    <row r="73" spans="1:15" ht="20.25" customHeight="1" x14ac:dyDescent="0.2">
      <c r="A73" s="82">
        <v>63</v>
      </c>
      <c r="B73" s="478"/>
      <c r="C73" s="478"/>
      <c r="D73" s="471"/>
      <c r="E73" s="471"/>
      <c r="F73" s="471"/>
      <c r="G73" s="471"/>
      <c r="H73" s="472"/>
      <c r="K73" s="112" t="str">
        <f t="shared" si="0"/>
        <v/>
      </c>
      <c r="O73" s="113" t="s">
        <v>308</v>
      </c>
    </row>
    <row r="74" spans="1:15" ht="20.25" customHeight="1" x14ac:dyDescent="0.2">
      <c r="A74" s="82">
        <v>64</v>
      </c>
      <c r="B74" s="478"/>
      <c r="C74" s="478"/>
      <c r="D74" s="471"/>
      <c r="E74" s="471"/>
      <c r="F74" s="471"/>
      <c r="G74" s="471"/>
      <c r="H74" s="472"/>
      <c r="K74" s="112" t="str">
        <f t="shared" si="0"/>
        <v/>
      </c>
      <c r="O74" s="113" t="s">
        <v>308</v>
      </c>
    </row>
    <row r="75" spans="1:15" ht="20.25" customHeight="1" x14ac:dyDescent="0.2">
      <c r="A75" s="82">
        <v>65</v>
      </c>
      <c r="B75" s="478"/>
      <c r="C75" s="478"/>
      <c r="D75" s="471"/>
      <c r="E75" s="471"/>
      <c r="F75" s="471"/>
      <c r="G75" s="471"/>
      <c r="H75" s="472"/>
      <c r="K75" s="112" t="str">
        <f t="shared" si="0"/>
        <v/>
      </c>
      <c r="O75" s="113" t="s">
        <v>308</v>
      </c>
    </row>
    <row r="76" spans="1:15" ht="20.25" customHeight="1" x14ac:dyDescent="0.2">
      <c r="A76" s="82">
        <v>66</v>
      </c>
      <c r="B76" s="478"/>
      <c r="C76" s="478"/>
      <c r="D76" s="471"/>
      <c r="E76" s="471"/>
      <c r="F76" s="471"/>
      <c r="G76" s="471"/>
      <c r="H76" s="472"/>
      <c r="K76" s="112" t="str">
        <f t="shared" si="0"/>
        <v/>
      </c>
      <c r="O76" s="113" t="s">
        <v>308</v>
      </c>
    </row>
    <row r="77" spans="1:15" ht="20.25" customHeight="1" x14ac:dyDescent="0.2">
      <c r="A77" s="82">
        <v>67</v>
      </c>
      <c r="B77" s="478"/>
      <c r="C77" s="478"/>
      <c r="D77" s="471"/>
      <c r="E77" s="471"/>
      <c r="F77" s="471"/>
      <c r="G77" s="471"/>
      <c r="H77" s="472"/>
      <c r="K77" s="112" t="str">
        <f t="shared" ref="K77:K138" si="1">IF(OR(B77&gt;0,C77&gt;0),PROPER(C77)&amp;" "&amp;UPPER(B77)&amp;" ("&amp;D77&amp;")","")</f>
        <v/>
      </c>
      <c r="O77" s="113" t="s">
        <v>308</v>
      </c>
    </row>
    <row r="78" spans="1:15" ht="20.25" customHeight="1" x14ac:dyDescent="0.2">
      <c r="A78" s="82">
        <v>68</v>
      </c>
      <c r="B78" s="478"/>
      <c r="C78" s="478"/>
      <c r="D78" s="471"/>
      <c r="E78" s="471"/>
      <c r="F78" s="471"/>
      <c r="G78" s="471"/>
      <c r="H78" s="472"/>
      <c r="K78" s="112" t="str">
        <f t="shared" si="1"/>
        <v/>
      </c>
      <c r="O78" s="113" t="s">
        <v>308</v>
      </c>
    </row>
    <row r="79" spans="1:15" ht="20.25" customHeight="1" x14ac:dyDescent="0.2">
      <c r="A79" s="82">
        <v>69</v>
      </c>
      <c r="B79" s="478"/>
      <c r="C79" s="478"/>
      <c r="D79" s="471"/>
      <c r="E79" s="471"/>
      <c r="F79" s="471"/>
      <c r="G79" s="471"/>
      <c r="H79" s="472"/>
      <c r="K79" s="112" t="str">
        <f t="shared" si="1"/>
        <v/>
      </c>
      <c r="O79" s="113" t="s">
        <v>308</v>
      </c>
    </row>
    <row r="80" spans="1:15" ht="20.25" customHeight="1" x14ac:dyDescent="0.2">
      <c r="A80" s="82">
        <v>70</v>
      </c>
      <c r="B80" s="478"/>
      <c r="C80" s="478"/>
      <c r="D80" s="471"/>
      <c r="E80" s="471"/>
      <c r="F80" s="471"/>
      <c r="G80" s="471"/>
      <c r="H80" s="472"/>
      <c r="K80" s="112" t="str">
        <f t="shared" si="1"/>
        <v/>
      </c>
      <c r="O80" s="113" t="s">
        <v>308</v>
      </c>
    </row>
    <row r="81" spans="1:15" ht="20.25" customHeight="1" x14ac:dyDescent="0.2">
      <c r="A81" s="82">
        <v>71</v>
      </c>
      <c r="B81" s="478"/>
      <c r="C81" s="478"/>
      <c r="D81" s="471"/>
      <c r="E81" s="471"/>
      <c r="F81" s="471"/>
      <c r="G81" s="471"/>
      <c r="H81" s="472"/>
      <c r="K81" s="112" t="str">
        <f t="shared" si="1"/>
        <v/>
      </c>
      <c r="O81" s="113" t="s">
        <v>308</v>
      </c>
    </row>
    <row r="82" spans="1:15" ht="20.25" customHeight="1" x14ac:dyDescent="0.2">
      <c r="A82" s="82">
        <v>72</v>
      </c>
      <c r="B82" s="478"/>
      <c r="C82" s="478"/>
      <c r="D82" s="471"/>
      <c r="E82" s="471"/>
      <c r="F82" s="471"/>
      <c r="G82" s="471"/>
      <c r="H82" s="472"/>
      <c r="K82" s="112" t="str">
        <f t="shared" si="1"/>
        <v/>
      </c>
      <c r="O82" s="113" t="s">
        <v>308</v>
      </c>
    </row>
    <row r="83" spans="1:15" ht="20.25" customHeight="1" x14ac:dyDescent="0.2">
      <c r="A83" s="82">
        <v>73</v>
      </c>
      <c r="B83" s="478"/>
      <c r="C83" s="478"/>
      <c r="D83" s="471"/>
      <c r="E83" s="471"/>
      <c r="F83" s="471"/>
      <c r="G83" s="471"/>
      <c r="H83" s="472"/>
      <c r="K83" s="112" t="str">
        <f t="shared" si="1"/>
        <v/>
      </c>
      <c r="O83" s="113" t="s">
        <v>308</v>
      </c>
    </row>
    <row r="84" spans="1:15" ht="20.25" customHeight="1" x14ac:dyDescent="0.2">
      <c r="A84" s="82">
        <v>74</v>
      </c>
      <c r="B84" s="478"/>
      <c r="C84" s="478"/>
      <c r="D84" s="471"/>
      <c r="E84" s="471"/>
      <c r="F84" s="471"/>
      <c r="G84" s="471"/>
      <c r="H84" s="472"/>
      <c r="K84" s="112" t="str">
        <f t="shared" si="1"/>
        <v/>
      </c>
      <c r="O84" s="113" t="s">
        <v>308</v>
      </c>
    </row>
    <row r="85" spans="1:15" ht="20.25" customHeight="1" x14ac:dyDescent="0.2">
      <c r="A85" s="82">
        <v>75</v>
      </c>
      <c r="B85" s="478"/>
      <c r="C85" s="478"/>
      <c r="D85" s="471"/>
      <c r="E85" s="471"/>
      <c r="F85" s="471"/>
      <c r="G85" s="471"/>
      <c r="H85" s="472"/>
      <c r="K85" s="112" t="str">
        <f t="shared" si="1"/>
        <v/>
      </c>
      <c r="O85" s="113" t="s">
        <v>308</v>
      </c>
    </row>
    <row r="86" spans="1:15" ht="20.25" customHeight="1" x14ac:dyDescent="0.2">
      <c r="A86" s="82">
        <v>76</v>
      </c>
      <c r="B86" s="478"/>
      <c r="C86" s="478"/>
      <c r="D86" s="471"/>
      <c r="E86" s="471"/>
      <c r="F86" s="471"/>
      <c r="G86" s="471"/>
      <c r="H86" s="472"/>
      <c r="K86" s="112" t="str">
        <f t="shared" si="1"/>
        <v/>
      </c>
      <c r="O86" s="113" t="s">
        <v>308</v>
      </c>
    </row>
    <row r="87" spans="1:15" ht="20.25" customHeight="1" x14ac:dyDescent="0.2">
      <c r="A87" s="82">
        <v>77</v>
      </c>
      <c r="B87" s="478"/>
      <c r="C87" s="478"/>
      <c r="D87" s="471"/>
      <c r="E87" s="471"/>
      <c r="F87" s="471"/>
      <c r="G87" s="471"/>
      <c r="H87" s="472"/>
      <c r="K87" s="112" t="str">
        <f t="shared" si="1"/>
        <v/>
      </c>
      <c r="O87" s="113" t="s">
        <v>308</v>
      </c>
    </row>
    <row r="88" spans="1:15" ht="20.25" customHeight="1" x14ac:dyDescent="0.2">
      <c r="A88" s="82">
        <v>78</v>
      </c>
      <c r="B88" s="478"/>
      <c r="C88" s="478"/>
      <c r="D88" s="471"/>
      <c r="E88" s="471"/>
      <c r="F88" s="471"/>
      <c r="G88" s="471"/>
      <c r="H88" s="472"/>
      <c r="K88" s="112" t="str">
        <f t="shared" si="1"/>
        <v/>
      </c>
      <c r="O88" s="113" t="s">
        <v>308</v>
      </c>
    </row>
    <row r="89" spans="1:15" ht="20.25" customHeight="1" x14ac:dyDescent="0.2">
      <c r="A89" s="82">
        <v>79</v>
      </c>
      <c r="B89" s="478"/>
      <c r="C89" s="478"/>
      <c r="D89" s="471"/>
      <c r="E89" s="471"/>
      <c r="F89" s="471"/>
      <c r="G89" s="471"/>
      <c r="H89" s="472"/>
      <c r="K89" s="112" t="str">
        <f t="shared" si="1"/>
        <v/>
      </c>
      <c r="O89" s="113" t="s">
        <v>308</v>
      </c>
    </row>
    <row r="90" spans="1:15" ht="20.25" customHeight="1" x14ac:dyDescent="0.2">
      <c r="A90" s="82">
        <v>80</v>
      </c>
      <c r="B90" s="478"/>
      <c r="C90" s="478"/>
      <c r="D90" s="471"/>
      <c r="E90" s="471"/>
      <c r="F90" s="471"/>
      <c r="G90" s="471"/>
      <c r="H90" s="472"/>
      <c r="K90" s="112" t="str">
        <f t="shared" si="1"/>
        <v/>
      </c>
      <c r="O90" s="113" t="s">
        <v>308</v>
      </c>
    </row>
    <row r="91" spans="1:15" ht="20.25" customHeight="1" x14ac:dyDescent="0.2">
      <c r="A91" s="82">
        <v>81</v>
      </c>
      <c r="B91" s="478"/>
      <c r="C91" s="478"/>
      <c r="D91" s="471"/>
      <c r="E91" s="471"/>
      <c r="F91" s="471"/>
      <c r="G91" s="471"/>
      <c r="H91" s="472"/>
      <c r="K91" s="112" t="str">
        <f t="shared" si="1"/>
        <v/>
      </c>
      <c r="O91" s="113" t="s">
        <v>308</v>
      </c>
    </row>
    <row r="92" spans="1:15" ht="20.25" customHeight="1" x14ac:dyDescent="0.2">
      <c r="A92" s="82">
        <v>82</v>
      </c>
      <c r="B92" s="478"/>
      <c r="C92" s="478"/>
      <c r="D92" s="471"/>
      <c r="E92" s="471"/>
      <c r="F92" s="471"/>
      <c r="G92" s="471"/>
      <c r="H92" s="472"/>
      <c r="K92" s="112" t="str">
        <f t="shared" si="1"/>
        <v/>
      </c>
      <c r="O92" s="113" t="s">
        <v>308</v>
      </c>
    </row>
    <row r="93" spans="1:15" ht="20.25" customHeight="1" x14ac:dyDescent="0.2">
      <c r="A93" s="82">
        <v>83</v>
      </c>
      <c r="B93" s="478"/>
      <c r="C93" s="478"/>
      <c r="D93" s="471"/>
      <c r="E93" s="471"/>
      <c r="F93" s="471"/>
      <c r="G93" s="471"/>
      <c r="H93" s="472"/>
      <c r="K93" s="112" t="str">
        <f t="shared" si="1"/>
        <v/>
      </c>
      <c r="O93" s="113" t="s">
        <v>308</v>
      </c>
    </row>
    <row r="94" spans="1:15" ht="20.25" customHeight="1" x14ac:dyDescent="0.2">
      <c r="A94" s="82">
        <v>84</v>
      </c>
      <c r="B94" s="478"/>
      <c r="C94" s="478"/>
      <c r="D94" s="471"/>
      <c r="E94" s="471"/>
      <c r="F94" s="471"/>
      <c r="G94" s="471"/>
      <c r="H94" s="472"/>
      <c r="K94" s="112" t="str">
        <f t="shared" si="1"/>
        <v/>
      </c>
      <c r="O94" s="113" t="s">
        <v>308</v>
      </c>
    </row>
    <row r="95" spans="1:15" ht="20.25" customHeight="1" x14ac:dyDescent="0.2">
      <c r="A95" s="82">
        <v>85</v>
      </c>
      <c r="B95" s="478"/>
      <c r="C95" s="478"/>
      <c r="D95" s="471"/>
      <c r="E95" s="471"/>
      <c r="F95" s="471"/>
      <c r="G95" s="471"/>
      <c r="H95" s="472"/>
      <c r="K95" s="112" t="str">
        <f t="shared" si="1"/>
        <v/>
      </c>
      <c r="O95" s="113" t="s">
        <v>308</v>
      </c>
    </row>
    <row r="96" spans="1:15" ht="20.25" customHeight="1" x14ac:dyDescent="0.2">
      <c r="A96" s="82">
        <v>86</v>
      </c>
      <c r="B96" s="478"/>
      <c r="C96" s="478"/>
      <c r="D96" s="471"/>
      <c r="E96" s="471"/>
      <c r="F96" s="471"/>
      <c r="G96" s="471"/>
      <c r="H96" s="472"/>
      <c r="K96" s="112" t="str">
        <f t="shared" si="1"/>
        <v/>
      </c>
      <c r="O96" s="113" t="s">
        <v>308</v>
      </c>
    </row>
    <row r="97" spans="1:15" ht="20.25" customHeight="1" x14ac:dyDescent="0.2">
      <c r="A97" s="82">
        <v>87</v>
      </c>
      <c r="B97" s="478"/>
      <c r="C97" s="478"/>
      <c r="D97" s="471"/>
      <c r="E97" s="471"/>
      <c r="F97" s="471"/>
      <c r="G97" s="471"/>
      <c r="H97" s="472"/>
      <c r="K97" s="112" t="str">
        <f t="shared" si="1"/>
        <v/>
      </c>
      <c r="O97" s="113" t="s">
        <v>308</v>
      </c>
    </row>
    <row r="98" spans="1:15" ht="20.25" customHeight="1" x14ac:dyDescent="0.2">
      <c r="A98" s="82">
        <v>88</v>
      </c>
      <c r="B98" s="478"/>
      <c r="C98" s="478"/>
      <c r="D98" s="471"/>
      <c r="E98" s="471"/>
      <c r="F98" s="471"/>
      <c r="G98" s="471"/>
      <c r="H98" s="472"/>
      <c r="K98" s="112" t="str">
        <f t="shared" si="1"/>
        <v/>
      </c>
      <c r="O98" s="113" t="s">
        <v>308</v>
      </c>
    </row>
    <row r="99" spans="1:15" ht="20.25" customHeight="1" x14ac:dyDescent="0.2">
      <c r="A99" s="82">
        <v>89</v>
      </c>
      <c r="B99" s="478"/>
      <c r="C99" s="478"/>
      <c r="D99" s="471"/>
      <c r="E99" s="471"/>
      <c r="F99" s="471"/>
      <c r="G99" s="471"/>
      <c r="H99" s="472"/>
      <c r="K99" s="112" t="str">
        <f t="shared" si="1"/>
        <v/>
      </c>
      <c r="O99" s="113" t="s">
        <v>308</v>
      </c>
    </row>
    <row r="100" spans="1:15" ht="20.25" customHeight="1" x14ac:dyDescent="0.2">
      <c r="A100" s="82">
        <v>90</v>
      </c>
      <c r="B100" s="478"/>
      <c r="C100" s="478"/>
      <c r="D100" s="471"/>
      <c r="E100" s="471"/>
      <c r="F100" s="471"/>
      <c r="G100" s="471"/>
      <c r="H100" s="472"/>
      <c r="K100" s="112" t="str">
        <f t="shared" si="1"/>
        <v/>
      </c>
      <c r="O100" s="113" t="s">
        <v>308</v>
      </c>
    </row>
    <row r="101" spans="1:15" ht="20.25" customHeight="1" x14ac:dyDescent="0.2">
      <c r="A101" s="82">
        <v>91</v>
      </c>
      <c r="B101" s="478"/>
      <c r="C101" s="478"/>
      <c r="D101" s="471"/>
      <c r="E101" s="471"/>
      <c r="F101" s="471"/>
      <c r="G101" s="471"/>
      <c r="H101" s="472"/>
      <c r="K101" s="112" t="str">
        <f t="shared" si="1"/>
        <v/>
      </c>
      <c r="O101" s="113" t="s">
        <v>308</v>
      </c>
    </row>
    <row r="102" spans="1:15" ht="20.25" customHeight="1" x14ac:dyDescent="0.2">
      <c r="A102" s="82">
        <v>92</v>
      </c>
      <c r="B102" s="478"/>
      <c r="C102" s="478"/>
      <c r="D102" s="471"/>
      <c r="E102" s="471"/>
      <c r="F102" s="471"/>
      <c r="G102" s="471"/>
      <c r="H102" s="472"/>
      <c r="K102" s="112" t="str">
        <f t="shared" si="1"/>
        <v/>
      </c>
      <c r="O102" s="113" t="s">
        <v>308</v>
      </c>
    </row>
    <row r="103" spans="1:15" ht="20.25" customHeight="1" x14ac:dyDescent="0.2">
      <c r="A103" s="82">
        <v>93</v>
      </c>
      <c r="B103" s="478"/>
      <c r="C103" s="478"/>
      <c r="D103" s="471"/>
      <c r="E103" s="471"/>
      <c r="F103" s="471"/>
      <c r="G103" s="471"/>
      <c r="H103" s="472"/>
      <c r="K103" s="112" t="str">
        <f t="shared" si="1"/>
        <v/>
      </c>
      <c r="O103" s="113" t="s">
        <v>308</v>
      </c>
    </row>
    <row r="104" spans="1:15" ht="20.25" customHeight="1" x14ac:dyDescent="0.2">
      <c r="A104" s="82">
        <v>94</v>
      </c>
      <c r="B104" s="478"/>
      <c r="C104" s="478"/>
      <c r="D104" s="471"/>
      <c r="E104" s="471"/>
      <c r="F104" s="471"/>
      <c r="G104" s="471"/>
      <c r="H104" s="472"/>
      <c r="K104" s="112" t="str">
        <f t="shared" si="1"/>
        <v/>
      </c>
      <c r="O104" s="113" t="s">
        <v>308</v>
      </c>
    </row>
    <row r="105" spans="1:15" ht="20.25" customHeight="1" x14ac:dyDescent="0.2">
      <c r="A105" s="82">
        <v>95</v>
      </c>
      <c r="B105" s="478"/>
      <c r="C105" s="478"/>
      <c r="D105" s="471"/>
      <c r="E105" s="471"/>
      <c r="F105" s="471"/>
      <c r="G105" s="471"/>
      <c r="H105" s="472"/>
      <c r="K105" s="112" t="str">
        <f t="shared" si="1"/>
        <v/>
      </c>
      <c r="O105" s="113" t="s">
        <v>308</v>
      </c>
    </row>
    <row r="106" spans="1:15" ht="20.25" customHeight="1" x14ac:dyDescent="0.2">
      <c r="A106" s="82">
        <v>96</v>
      </c>
      <c r="B106" s="478"/>
      <c r="C106" s="478"/>
      <c r="D106" s="471"/>
      <c r="E106" s="471"/>
      <c r="F106" s="471"/>
      <c r="G106" s="471"/>
      <c r="H106" s="472"/>
      <c r="K106" s="112" t="str">
        <f t="shared" si="1"/>
        <v/>
      </c>
      <c r="O106" s="113" t="s">
        <v>308</v>
      </c>
    </row>
    <row r="107" spans="1:15" ht="20.25" customHeight="1" x14ac:dyDescent="0.2">
      <c r="A107" s="82">
        <v>97</v>
      </c>
      <c r="B107" s="478"/>
      <c r="C107" s="478"/>
      <c r="D107" s="471"/>
      <c r="E107" s="471"/>
      <c r="F107" s="471"/>
      <c r="G107" s="471"/>
      <c r="H107" s="472"/>
      <c r="K107" s="112" t="str">
        <f t="shared" si="1"/>
        <v/>
      </c>
      <c r="O107" s="113" t="s">
        <v>308</v>
      </c>
    </row>
    <row r="108" spans="1:15" ht="20.25" customHeight="1" x14ac:dyDescent="0.2">
      <c r="A108" s="82">
        <v>98</v>
      </c>
      <c r="B108" s="478"/>
      <c r="C108" s="478"/>
      <c r="D108" s="471"/>
      <c r="E108" s="471"/>
      <c r="F108" s="471"/>
      <c r="G108" s="471"/>
      <c r="H108" s="472"/>
      <c r="K108" s="112" t="str">
        <f t="shared" si="1"/>
        <v/>
      </c>
      <c r="O108" s="113" t="s">
        <v>308</v>
      </c>
    </row>
    <row r="109" spans="1:15" ht="20.25" customHeight="1" x14ac:dyDescent="0.2">
      <c r="A109" s="82">
        <v>99</v>
      </c>
      <c r="B109" s="478"/>
      <c r="C109" s="478"/>
      <c r="D109" s="471"/>
      <c r="E109" s="471"/>
      <c r="F109" s="471"/>
      <c r="G109" s="471"/>
      <c r="H109" s="472"/>
      <c r="K109" s="112" t="str">
        <f t="shared" si="1"/>
        <v/>
      </c>
      <c r="O109" s="113" t="s">
        <v>308</v>
      </c>
    </row>
    <row r="110" spans="1:15" ht="20.25" customHeight="1" x14ac:dyDescent="0.2">
      <c r="A110" s="82">
        <v>100</v>
      </c>
      <c r="B110" s="478"/>
      <c r="C110" s="478"/>
      <c r="D110" s="471"/>
      <c r="E110" s="471"/>
      <c r="F110" s="471"/>
      <c r="G110" s="471"/>
      <c r="H110" s="472"/>
      <c r="K110" s="112" t="str">
        <f t="shared" si="1"/>
        <v/>
      </c>
      <c r="O110" s="113" t="s">
        <v>308</v>
      </c>
    </row>
    <row r="111" spans="1:15" ht="20.25" customHeight="1" x14ac:dyDescent="0.2">
      <c r="A111" s="82">
        <v>101</v>
      </c>
      <c r="B111" s="478"/>
      <c r="C111" s="478"/>
      <c r="D111" s="471"/>
      <c r="E111" s="471"/>
      <c r="F111" s="471"/>
      <c r="G111" s="471"/>
      <c r="H111" s="472"/>
      <c r="K111" s="112" t="str">
        <f t="shared" si="1"/>
        <v/>
      </c>
      <c r="O111" s="113" t="s">
        <v>308</v>
      </c>
    </row>
    <row r="112" spans="1:15" ht="20.25" customHeight="1" x14ac:dyDescent="0.2">
      <c r="A112" s="82">
        <v>102</v>
      </c>
      <c r="B112" s="478"/>
      <c r="C112" s="478"/>
      <c r="D112" s="471"/>
      <c r="E112" s="471"/>
      <c r="F112" s="471"/>
      <c r="G112" s="471"/>
      <c r="H112" s="472"/>
      <c r="K112" s="112" t="str">
        <f t="shared" si="1"/>
        <v/>
      </c>
      <c r="O112" s="113" t="s">
        <v>308</v>
      </c>
    </row>
    <row r="113" spans="1:15" ht="20.25" customHeight="1" x14ac:dyDescent="0.2">
      <c r="A113" s="82">
        <v>103</v>
      </c>
      <c r="B113" s="478"/>
      <c r="C113" s="478"/>
      <c r="D113" s="471"/>
      <c r="E113" s="471"/>
      <c r="F113" s="471"/>
      <c r="G113" s="471"/>
      <c r="H113" s="472"/>
      <c r="K113" s="112" t="str">
        <f t="shared" si="1"/>
        <v/>
      </c>
      <c r="O113" s="113" t="s">
        <v>308</v>
      </c>
    </row>
    <row r="114" spans="1:15" ht="20.25" customHeight="1" x14ac:dyDescent="0.2">
      <c r="A114" s="82">
        <v>104</v>
      </c>
      <c r="B114" s="478"/>
      <c r="C114" s="478"/>
      <c r="D114" s="471"/>
      <c r="E114" s="471"/>
      <c r="F114" s="471"/>
      <c r="G114" s="471"/>
      <c r="H114" s="472"/>
      <c r="K114" s="112" t="str">
        <f t="shared" si="1"/>
        <v/>
      </c>
      <c r="O114" s="113" t="s">
        <v>308</v>
      </c>
    </row>
    <row r="115" spans="1:15" ht="20.25" customHeight="1" x14ac:dyDescent="0.2">
      <c r="A115" s="82">
        <v>105</v>
      </c>
      <c r="B115" s="478"/>
      <c r="C115" s="478"/>
      <c r="D115" s="471"/>
      <c r="E115" s="471"/>
      <c r="F115" s="471"/>
      <c r="G115" s="471"/>
      <c r="H115" s="472"/>
      <c r="K115" s="112" t="str">
        <f t="shared" si="1"/>
        <v/>
      </c>
      <c r="O115" s="113" t="s">
        <v>308</v>
      </c>
    </row>
    <row r="116" spans="1:15" ht="20.25" customHeight="1" x14ac:dyDescent="0.2">
      <c r="A116" s="82">
        <v>106</v>
      </c>
      <c r="B116" s="478"/>
      <c r="C116" s="478"/>
      <c r="D116" s="471"/>
      <c r="E116" s="471"/>
      <c r="F116" s="471"/>
      <c r="G116" s="471"/>
      <c r="H116" s="472"/>
      <c r="K116" s="112" t="str">
        <f t="shared" si="1"/>
        <v/>
      </c>
      <c r="O116" s="113" t="s">
        <v>308</v>
      </c>
    </row>
    <row r="117" spans="1:15" ht="20.25" customHeight="1" x14ac:dyDescent="0.2">
      <c r="A117" s="82">
        <v>107</v>
      </c>
      <c r="B117" s="478"/>
      <c r="C117" s="478"/>
      <c r="D117" s="471"/>
      <c r="E117" s="471"/>
      <c r="F117" s="471"/>
      <c r="G117" s="471"/>
      <c r="H117" s="472"/>
      <c r="K117" s="112" t="str">
        <f t="shared" si="1"/>
        <v/>
      </c>
      <c r="O117" s="113" t="s">
        <v>308</v>
      </c>
    </row>
    <row r="118" spans="1:15" ht="20.25" customHeight="1" x14ac:dyDescent="0.2">
      <c r="A118" s="82">
        <v>108</v>
      </c>
      <c r="B118" s="478"/>
      <c r="C118" s="478"/>
      <c r="D118" s="471"/>
      <c r="E118" s="471"/>
      <c r="F118" s="471"/>
      <c r="G118" s="471"/>
      <c r="H118" s="472"/>
      <c r="K118" s="112" t="str">
        <f t="shared" si="1"/>
        <v/>
      </c>
      <c r="O118" s="113" t="s">
        <v>308</v>
      </c>
    </row>
    <row r="119" spans="1:15" ht="20.25" customHeight="1" x14ac:dyDescent="0.2">
      <c r="A119" s="82">
        <v>109</v>
      </c>
      <c r="B119" s="478"/>
      <c r="C119" s="478"/>
      <c r="D119" s="471"/>
      <c r="E119" s="471"/>
      <c r="F119" s="471"/>
      <c r="G119" s="471"/>
      <c r="H119" s="472"/>
      <c r="K119" s="112" t="str">
        <f t="shared" si="1"/>
        <v/>
      </c>
      <c r="O119" s="113" t="s">
        <v>308</v>
      </c>
    </row>
    <row r="120" spans="1:15" ht="20.25" customHeight="1" x14ac:dyDescent="0.2">
      <c r="A120" s="82">
        <v>110</v>
      </c>
      <c r="B120" s="478"/>
      <c r="C120" s="478"/>
      <c r="D120" s="471"/>
      <c r="E120" s="471"/>
      <c r="F120" s="471"/>
      <c r="G120" s="471"/>
      <c r="H120" s="472"/>
      <c r="K120" s="112" t="str">
        <f t="shared" si="1"/>
        <v/>
      </c>
      <c r="O120" s="113" t="s">
        <v>308</v>
      </c>
    </row>
    <row r="121" spans="1:15" ht="20.25" customHeight="1" x14ac:dyDescent="0.2">
      <c r="A121" s="82">
        <v>111</v>
      </c>
      <c r="B121" s="478"/>
      <c r="C121" s="478"/>
      <c r="D121" s="471"/>
      <c r="E121" s="471"/>
      <c r="F121" s="471"/>
      <c r="G121" s="471"/>
      <c r="H121" s="472"/>
      <c r="K121" s="112" t="str">
        <f t="shared" si="1"/>
        <v/>
      </c>
      <c r="O121" s="113" t="s">
        <v>308</v>
      </c>
    </row>
    <row r="122" spans="1:15" ht="20.25" customHeight="1" x14ac:dyDescent="0.2">
      <c r="A122" s="82">
        <v>112</v>
      </c>
      <c r="B122" s="478"/>
      <c r="C122" s="478"/>
      <c r="D122" s="471"/>
      <c r="E122" s="471"/>
      <c r="F122" s="471"/>
      <c r="G122" s="471"/>
      <c r="H122" s="472"/>
      <c r="K122" s="112" t="str">
        <f t="shared" si="1"/>
        <v/>
      </c>
      <c r="O122" s="113" t="s">
        <v>308</v>
      </c>
    </row>
    <row r="123" spans="1:15" ht="20.25" customHeight="1" x14ac:dyDescent="0.2">
      <c r="A123" s="82">
        <v>113</v>
      </c>
      <c r="B123" s="478"/>
      <c r="C123" s="478"/>
      <c r="D123" s="471"/>
      <c r="E123" s="471"/>
      <c r="F123" s="471"/>
      <c r="G123" s="471"/>
      <c r="H123" s="472"/>
      <c r="K123" s="112" t="str">
        <f t="shared" si="1"/>
        <v/>
      </c>
      <c r="O123" s="113" t="s">
        <v>308</v>
      </c>
    </row>
    <row r="124" spans="1:15" ht="20.25" customHeight="1" x14ac:dyDescent="0.2">
      <c r="A124" s="82">
        <v>114</v>
      </c>
      <c r="B124" s="478"/>
      <c r="C124" s="478"/>
      <c r="D124" s="471"/>
      <c r="E124" s="471"/>
      <c r="F124" s="471"/>
      <c r="G124" s="471"/>
      <c r="H124" s="472"/>
      <c r="K124" s="112" t="str">
        <f t="shared" si="1"/>
        <v/>
      </c>
      <c r="O124" s="113" t="s">
        <v>308</v>
      </c>
    </row>
    <row r="125" spans="1:15" ht="20.25" customHeight="1" x14ac:dyDescent="0.2">
      <c r="A125" s="82">
        <v>115</v>
      </c>
      <c r="B125" s="478"/>
      <c r="C125" s="478"/>
      <c r="D125" s="471"/>
      <c r="E125" s="471"/>
      <c r="F125" s="471"/>
      <c r="G125" s="471"/>
      <c r="H125" s="472"/>
      <c r="K125" s="112" t="str">
        <f t="shared" si="1"/>
        <v/>
      </c>
      <c r="O125" s="113" t="s">
        <v>308</v>
      </c>
    </row>
    <row r="126" spans="1:15" ht="20.25" customHeight="1" x14ac:dyDescent="0.2">
      <c r="A126" s="82">
        <v>116</v>
      </c>
      <c r="B126" s="478"/>
      <c r="C126" s="478"/>
      <c r="D126" s="471"/>
      <c r="E126" s="471"/>
      <c r="F126" s="471"/>
      <c r="G126" s="471"/>
      <c r="H126" s="472"/>
      <c r="K126" s="112" t="str">
        <f t="shared" si="1"/>
        <v/>
      </c>
      <c r="O126" s="113" t="s">
        <v>308</v>
      </c>
    </row>
    <row r="127" spans="1:15" ht="20.25" customHeight="1" x14ac:dyDescent="0.2">
      <c r="A127" s="82">
        <v>117</v>
      </c>
      <c r="B127" s="478"/>
      <c r="C127" s="478"/>
      <c r="D127" s="471"/>
      <c r="E127" s="471"/>
      <c r="F127" s="471"/>
      <c r="G127" s="471"/>
      <c r="H127" s="472"/>
      <c r="K127" s="112" t="str">
        <f t="shared" si="1"/>
        <v/>
      </c>
      <c r="O127" s="113" t="s">
        <v>308</v>
      </c>
    </row>
    <row r="128" spans="1:15" ht="20.25" customHeight="1" x14ac:dyDescent="0.2">
      <c r="A128" s="82">
        <v>118</v>
      </c>
      <c r="B128" s="478"/>
      <c r="C128" s="478"/>
      <c r="D128" s="471"/>
      <c r="E128" s="471"/>
      <c r="F128" s="471"/>
      <c r="G128" s="471"/>
      <c r="H128" s="472"/>
      <c r="K128" s="112" t="str">
        <f t="shared" si="1"/>
        <v/>
      </c>
      <c r="O128" s="113" t="s">
        <v>308</v>
      </c>
    </row>
    <row r="129" spans="1:15" ht="20.25" customHeight="1" x14ac:dyDescent="0.2">
      <c r="A129" s="82">
        <v>119</v>
      </c>
      <c r="B129" s="478"/>
      <c r="C129" s="478"/>
      <c r="D129" s="471"/>
      <c r="E129" s="471"/>
      <c r="F129" s="471"/>
      <c r="G129" s="471"/>
      <c r="H129" s="472"/>
      <c r="K129" s="112" t="str">
        <f t="shared" si="1"/>
        <v/>
      </c>
      <c r="O129" s="113" t="s">
        <v>308</v>
      </c>
    </row>
    <row r="130" spans="1:15" ht="20.25" customHeight="1" x14ac:dyDescent="0.2">
      <c r="A130" s="82">
        <v>120</v>
      </c>
      <c r="B130" s="478"/>
      <c r="C130" s="478"/>
      <c r="D130" s="471"/>
      <c r="E130" s="471"/>
      <c r="F130" s="471"/>
      <c r="G130" s="471"/>
      <c r="H130" s="472"/>
      <c r="K130" s="112" t="str">
        <f t="shared" si="1"/>
        <v/>
      </c>
      <c r="O130" s="113" t="s">
        <v>308</v>
      </c>
    </row>
    <row r="131" spans="1:15" ht="20.25" customHeight="1" x14ac:dyDescent="0.2">
      <c r="A131" s="82">
        <v>121</v>
      </c>
      <c r="B131" s="478"/>
      <c r="C131" s="478"/>
      <c r="D131" s="471"/>
      <c r="E131" s="471"/>
      <c r="F131" s="471"/>
      <c r="G131" s="471"/>
      <c r="H131" s="472"/>
      <c r="K131" s="112" t="str">
        <f t="shared" si="1"/>
        <v/>
      </c>
      <c r="O131" s="113" t="s">
        <v>308</v>
      </c>
    </row>
    <row r="132" spans="1:15" ht="20.25" customHeight="1" x14ac:dyDescent="0.2">
      <c r="A132" s="82">
        <v>122</v>
      </c>
      <c r="B132" s="478"/>
      <c r="C132" s="478"/>
      <c r="D132" s="471"/>
      <c r="E132" s="471"/>
      <c r="F132" s="471"/>
      <c r="G132" s="471"/>
      <c r="H132" s="472"/>
      <c r="K132" s="112" t="str">
        <f t="shared" si="1"/>
        <v/>
      </c>
      <c r="O132" s="113" t="s">
        <v>308</v>
      </c>
    </row>
    <row r="133" spans="1:15" ht="20.25" customHeight="1" x14ac:dyDescent="0.2">
      <c r="A133" s="82">
        <v>123</v>
      </c>
      <c r="B133" s="478"/>
      <c r="C133" s="478"/>
      <c r="D133" s="471"/>
      <c r="E133" s="471"/>
      <c r="F133" s="471"/>
      <c r="G133" s="471"/>
      <c r="H133" s="472"/>
      <c r="K133" s="112" t="str">
        <f t="shared" si="1"/>
        <v/>
      </c>
      <c r="O133" s="113" t="s">
        <v>308</v>
      </c>
    </row>
    <row r="134" spans="1:15" ht="20.25" customHeight="1" x14ac:dyDescent="0.2">
      <c r="A134" s="82">
        <v>124</v>
      </c>
      <c r="B134" s="478"/>
      <c r="C134" s="478"/>
      <c r="D134" s="471"/>
      <c r="E134" s="471"/>
      <c r="F134" s="471"/>
      <c r="G134" s="471"/>
      <c r="H134" s="472"/>
      <c r="K134" s="112" t="str">
        <f t="shared" si="1"/>
        <v/>
      </c>
      <c r="O134" s="113" t="s">
        <v>308</v>
      </c>
    </row>
    <row r="135" spans="1:15" ht="20.25" customHeight="1" x14ac:dyDescent="0.2">
      <c r="A135" s="82">
        <v>125</v>
      </c>
      <c r="B135" s="478"/>
      <c r="C135" s="478"/>
      <c r="D135" s="471"/>
      <c r="E135" s="471"/>
      <c r="F135" s="471"/>
      <c r="G135" s="471"/>
      <c r="H135" s="472"/>
      <c r="K135" s="112" t="str">
        <f t="shared" si="1"/>
        <v/>
      </c>
      <c r="O135" s="113" t="s">
        <v>308</v>
      </c>
    </row>
    <row r="136" spans="1:15" ht="20.25" customHeight="1" x14ac:dyDescent="0.2">
      <c r="A136" s="82">
        <v>126</v>
      </c>
      <c r="B136" s="478"/>
      <c r="C136" s="478"/>
      <c r="D136" s="471"/>
      <c r="E136" s="471"/>
      <c r="F136" s="471"/>
      <c r="G136" s="471"/>
      <c r="H136" s="472"/>
      <c r="K136" s="112" t="str">
        <f t="shared" si="1"/>
        <v/>
      </c>
      <c r="O136" s="113" t="s">
        <v>308</v>
      </c>
    </row>
    <row r="137" spans="1:15" ht="20.25" customHeight="1" x14ac:dyDescent="0.2">
      <c r="A137" s="82">
        <v>127</v>
      </c>
      <c r="B137" s="478"/>
      <c r="C137" s="478"/>
      <c r="D137" s="471"/>
      <c r="E137" s="471"/>
      <c r="F137" s="471"/>
      <c r="G137" s="471"/>
      <c r="H137" s="472"/>
      <c r="K137" s="112" t="str">
        <f t="shared" si="1"/>
        <v/>
      </c>
      <c r="O137" s="113" t="s">
        <v>308</v>
      </c>
    </row>
    <row r="138" spans="1:15" ht="20.25" customHeight="1" thickBot="1" x14ac:dyDescent="0.25">
      <c r="A138" s="82">
        <v>128</v>
      </c>
      <c r="B138" s="478"/>
      <c r="C138" s="478"/>
      <c r="D138" s="471"/>
      <c r="E138" s="471"/>
      <c r="F138" s="471"/>
      <c r="G138" s="471"/>
      <c r="H138" s="472"/>
      <c r="K138" s="114" t="str">
        <f t="shared" si="1"/>
        <v/>
      </c>
      <c r="O138" s="115" t="s">
        <v>308</v>
      </c>
    </row>
    <row r="139" spans="1:15" x14ac:dyDescent="0.2">
      <c r="A139" s="159"/>
      <c r="B139" s="542"/>
      <c r="C139" s="542"/>
      <c r="D139" s="544"/>
      <c r="E139" s="544"/>
      <c r="F139" s="544"/>
      <c r="G139" s="544"/>
      <c r="H139" s="544"/>
    </row>
    <row r="140" spans="1:15" x14ac:dyDescent="0.2">
      <c r="A140" s="159"/>
      <c r="B140" s="467"/>
      <c r="C140" s="467"/>
      <c r="D140" s="468"/>
      <c r="E140" s="468"/>
      <c r="F140" s="468"/>
      <c r="G140" s="468"/>
      <c r="H140" s="468"/>
    </row>
    <row r="141" spans="1:15" x14ac:dyDescent="0.2">
      <c r="A141" s="159"/>
      <c r="B141" s="467"/>
      <c r="C141" s="467"/>
      <c r="D141" s="468"/>
      <c r="E141" s="468"/>
      <c r="F141" s="468"/>
      <c r="G141" s="468"/>
      <c r="H141" s="468"/>
    </row>
    <row r="142" spans="1:15" x14ac:dyDescent="0.2">
      <c r="A142" s="159"/>
      <c r="B142" s="467"/>
      <c r="C142" s="467"/>
      <c r="D142" s="468"/>
      <c r="E142" s="468"/>
      <c r="F142" s="468"/>
      <c r="G142" s="468"/>
      <c r="H142" s="468"/>
    </row>
    <row r="143" spans="1:15" x14ac:dyDescent="0.2">
      <c r="A143" s="159"/>
      <c r="B143" s="467"/>
      <c r="C143" s="467"/>
      <c r="D143" s="468"/>
      <c r="E143" s="468"/>
      <c r="F143" s="468"/>
      <c r="G143" s="468"/>
      <c r="H143" s="468"/>
    </row>
    <row r="144" spans="1:15" x14ac:dyDescent="0.2">
      <c r="B144" s="461"/>
      <c r="C144" s="461"/>
      <c r="D144" s="462"/>
      <c r="E144" s="462"/>
      <c r="F144" s="462"/>
      <c r="G144" s="462"/>
      <c r="H144" s="462"/>
    </row>
    <row r="145" spans="2:8" x14ac:dyDescent="0.2">
      <c r="B145" s="461"/>
      <c r="C145" s="461"/>
      <c r="D145" s="462"/>
      <c r="E145" s="462"/>
      <c r="F145" s="462"/>
      <c r="G145" s="462"/>
      <c r="H145" s="462"/>
    </row>
    <row r="146" spans="2:8" x14ac:dyDescent="0.2">
      <c r="B146" s="461"/>
      <c r="C146" s="461"/>
      <c r="D146" s="462"/>
      <c r="E146" s="462"/>
      <c r="F146" s="462"/>
      <c r="G146" s="462"/>
      <c r="H146" s="462"/>
    </row>
    <row r="147" spans="2:8" x14ac:dyDescent="0.2">
      <c r="B147" s="461"/>
      <c r="C147" s="461"/>
      <c r="D147" s="462"/>
      <c r="E147" s="462"/>
      <c r="F147" s="462"/>
      <c r="G147" s="462"/>
      <c r="H147" s="462"/>
    </row>
    <row r="148" spans="2:8" x14ac:dyDescent="0.2">
      <c r="B148" s="461"/>
      <c r="C148" s="461"/>
      <c r="D148" s="462"/>
      <c r="E148" s="462"/>
      <c r="F148" s="462"/>
      <c r="G148" s="462"/>
      <c r="H148" s="462"/>
    </row>
    <row r="149" spans="2:8" x14ac:dyDescent="0.2">
      <c r="B149" s="461"/>
      <c r="C149" s="461"/>
      <c r="D149" s="462"/>
      <c r="E149" s="462"/>
      <c r="F149" s="462"/>
      <c r="G149" s="462"/>
      <c r="H149" s="462"/>
    </row>
    <row r="150" spans="2:8" x14ac:dyDescent="0.2">
      <c r="B150" s="461"/>
      <c r="C150" s="461"/>
      <c r="D150" s="462"/>
      <c r="E150" s="462"/>
      <c r="F150" s="462"/>
      <c r="G150" s="462"/>
      <c r="H150" s="462"/>
    </row>
    <row r="151" spans="2:8" x14ac:dyDescent="0.2">
      <c r="B151" s="461"/>
      <c r="C151" s="461"/>
      <c r="D151" s="462"/>
      <c r="E151" s="462"/>
      <c r="F151" s="462"/>
      <c r="G151" s="462"/>
      <c r="H151" s="462"/>
    </row>
    <row r="152" spans="2:8" x14ac:dyDescent="0.2">
      <c r="B152" s="461"/>
      <c r="C152" s="461"/>
      <c r="D152" s="462"/>
      <c r="E152" s="462"/>
      <c r="F152" s="462"/>
      <c r="G152" s="462"/>
      <c r="H152" s="462"/>
    </row>
    <row r="153" spans="2:8" x14ac:dyDescent="0.2">
      <c r="B153" s="461"/>
      <c r="C153" s="461"/>
      <c r="D153" s="462"/>
      <c r="E153" s="462"/>
      <c r="F153" s="462"/>
      <c r="G153" s="462"/>
      <c r="H153" s="462"/>
    </row>
    <row r="154" spans="2:8" x14ac:dyDescent="0.2">
      <c r="B154" s="461"/>
      <c r="C154" s="461"/>
      <c r="D154" s="462"/>
      <c r="E154" s="462"/>
      <c r="F154" s="462"/>
      <c r="G154" s="462"/>
      <c r="H154" s="462"/>
    </row>
    <row r="155" spans="2:8" x14ac:dyDescent="0.2">
      <c r="B155" s="461"/>
      <c r="C155" s="461"/>
      <c r="D155" s="462"/>
      <c r="E155" s="462"/>
      <c r="F155" s="462"/>
      <c r="G155" s="462"/>
      <c r="H155" s="462"/>
    </row>
    <row r="156" spans="2:8" x14ac:dyDescent="0.2">
      <c r="B156" s="461"/>
      <c r="C156" s="461"/>
      <c r="D156" s="462"/>
      <c r="E156" s="462"/>
      <c r="F156" s="462"/>
      <c r="G156" s="462"/>
      <c r="H156" s="462"/>
    </row>
    <row r="157" spans="2:8" x14ac:dyDescent="0.2">
      <c r="B157" s="461"/>
      <c r="C157" s="461"/>
      <c r="D157" s="462"/>
      <c r="E157" s="462"/>
      <c r="F157" s="462"/>
      <c r="G157" s="462"/>
      <c r="H157" s="462"/>
    </row>
    <row r="158" spans="2:8" x14ac:dyDescent="0.2">
      <c r="B158" s="461"/>
      <c r="C158" s="461"/>
      <c r="D158" s="462"/>
      <c r="E158" s="462"/>
      <c r="F158" s="462"/>
      <c r="G158" s="462"/>
      <c r="H158" s="462"/>
    </row>
    <row r="159" spans="2:8" x14ac:dyDescent="0.2">
      <c r="B159" s="461"/>
      <c r="C159" s="461"/>
      <c r="D159" s="462"/>
      <c r="E159" s="462"/>
      <c r="F159" s="462"/>
      <c r="G159" s="462"/>
      <c r="H159" s="462"/>
    </row>
    <row r="160" spans="2:8" x14ac:dyDescent="0.2">
      <c r="B160" s="461"/>
      <c r="C160" s="461"/>
      <c r="D160" s="462"/>
      <c r="E160" s="462"/>
      <c r="F160" s="462"/>
      <c r="G160" s="462"/>
      <c r="H160" s="462"/>
    </row>
    <row r="161" spans="2:8" x14ac:dyDescent="0.2">
      <c r="B161" s="461"/>
      <c r="C161" s="461"/>
      <c r="D161" s="462"/>
      <c r="E161" s="462"/>
      <c r="F161" s="462"/>
      <c r="G161" s="462"/>
      <c r="H161" s="462"/>
    </row>
    <row r="162" spans="2:8" x14ac:dyDescent="0.2">
      <c r="B162" s="461"/>
      <c r="C162" s="461"/>
      <c r="D162" s="462"/>
      <c r="E162" s="462"/>
      <c r="F162" s="462"/>
      <c r="G162" s="462"/>
      <c r="H162" s="462"/>
    </row>
    <row r="163" spans="2:8" x14ac:dyDescent="0.2">
      <c r="B163" s="461"/>
      <c r="C163" s="461"/>
      <c r="D163" s="462"/>
      <c r="E163" s="462"/>
      <c r="F163" s="462"/>
      <c r="G163" s="462"/>
      <c r="H163" s="462"/>
    </row>
    <row r="164" spans="2:8" x14ac:dyDescent="0.2">
      <c r="B164" s="461"/>
      <c r="C164" s="461"/>
      <c r="D164" s="462"/>
      <c r="E164" s="462"/>
      <c r="F164" s="462"/>
      <c r="G164" s="462"/>
      <c r="H164" s="462"/>
    </row>
    <row r="165" spans="2:8" x14ac:dyDescent="0.2">
      <c r="B165" s="461"/>
      <c r="C165" s="461"/>
      <c r="D165" s="462"/>
      <c r="E165" s="462"/>
      <c r="F165" s="462"/>
      <c r="G165" s="462"/>
      <c r="H165" s="462"/>
    </row>
    <row r="166" spans="2:8" x14ac:dyDescent="0.2">
      <c r="B166" s="461"/>
      <c r="C166" s="461"/>
      <c r="D166" s="462"/>
      <c r="E166" s="462"/>
      <c r="F166" s="462"/>
      <c r="G166" s="462"/>
      <c r="H166" s="462"/>
    </row>
    <row r="167" spans="2:8" x14ac:dyDescent="0.2">
      <c r="B167" s="461"/>
      <c r="C167" s="461"/>
      <c r="D167" s="462"/>
      <c r="E167" s="462"/>
      <c r="F167" s="462"/>
      <c r="G167" s="462"/>
      <c r="H167" s="462"/>
    </row>
    <row r="168" spans="2:8" x14ac:dyDescent="0.2">
      <c r="B168" s="461"/>
      <c r="C168" s="461"/>
      <c r="D168" s="462"/>
      <c r="E168" s="462"/>
      <c r="F168" s="462"/>
      <c r="G168" s="462"/>
      <c r="H168" s="462"/>
    </row>
    <row r="169" spans="2:8" x14ac:dyDescent="0.2">
      <c r="B169" s="461"/>
      <c r="C169" s="461"/>
      <c r="D169" s="462"/>
      <c r="E169" s="462"/>
      <c r="F169" s="462"/>
      <c r="G169" s="462"/>
      <c r="H169" s="462"/>
    </row>
    <row r="170" spans="2:8" x14ac:dyDescent="0.2">
      <c r="B170" s="461"/>
      <c r="C170" s="461"/>
      <c r="D170" s="462"/>
      <c r="E170" s="462"/>
      <c r="F170" s="462"/>
      <c r="G170" s="462"/>
      <c r="H170" s="462"/>
    </row>
    <row r="171" spans="2:8" x14ac:dyDescent="0.2">
      <c r="B171" s="461"/>
      <c r="C171" s="461"/>
      <c r="D171" s="462"/>
      <c r="E171" s="462"/>
      <c r="F171" s="462"/>
      <c r="G171" s="462"/>
      <c r="H171" s="462"/>
    </row>
    <row r="172" spans="2:8" x14ac:dyDescent="0.2">
      <c r="B172" s="461"/>
      <c r="C172" s="461"/>
      <c r="D172" s="462"/>
      <c r="E172" s="462"/>
      <c r="F172" s="462"/>
      <c r="G172" s="462"/>
      <c r="H172" s="462"/>
    </row>
    <row r="173" spans="2:8" x14ac:dyDescent="0.2">
      <c r="B173" s="461"/>
      <c r="C173" s="461"/>
      <c r="D173" s="462"/>
      <c r="E173" s="462"/>
      <c r="F173" s="462"/>
      <c r="G173" s="462"/>
      <c r="H173" s="462"/>
    </row>
    <row r="174" spans="2:8" x14ac:dyDescent="0.2">
      <c r="B174" s="461"/>
      <c r="C174" s="461"/>
      <c r="D174" s="462"/>
      <c r="E174" s="462"/>
      <c r="F174" s="462"/>
      <c r="G174" s="462"/>
      <c r="H174" s="462"/>
    </row>
    <row r="175" spans="2:8" x14ac:dyDescent="0.2">
      <c r="B175" s="461"/>
      <c r="C175" s="461"/>
      <c r="D175" s="462"/>
      <c r="E175" s="462"/>
      <c r="F175" s="462"/>
      <c r="G175" s="462"/>
      <c r="H175" s="462"/>
    </row>
    <row r="176" spans="2:8" x14ac:dyDescent="0.2">
      <c r="B176" s="461"/>
      <c r="C176" s="461"/>
      <c r="D176" s="462"/>
      <c r="E176" s="462"/>
      <c r="F176" s="462"/>
      <c r="G176" s="462"/>
      <c r="H176" s="462"/>
    </row>
    <row r="177" spans="2:8" x14ac:dyDescent="0.2">
      <c r="B177" s="461"/>
      <c r="C177" s="461"/>
      <c r="D177" s="462"/>
      <c r="E177" s="462"/>
      <c r="F177" s="462"/>
      <c r="G177" s="462"/>
      <c r="H177" s="462"/>
    </row>
    <row r="178" spans="2:8" x14ac:dyDescent="0.2">
      <c r="B178" s="461"/>
      <c r="C178" s="461"/>
      <c r="D178" s="462"/>
      <c r="E178" s="462"/>
      <c r="F178" s="462"/>
      <c r="G178" s="462"/>
      <c r="H178" s="462"/>
    </row>
    <row r="179" spans="2:8" x14ac:dyDescent="0.2">
      <c r="B179" s="461"/>
      <c r="C179" s="461"/>
      <c r="D179" s="462"/>
      <c r="E179" s="462"/>
      <c r="F179" s="462"/>
      <c r="G179" s="462"/>
      <c r="H179" s="462"/>
    </row>
    <row r="180" spans="2:8" x14ac:dyDescent="0.2">
      <c r="B180" s="461"/>
      <c r="C180" s="461"/>
      <c r="D180" s="462"/>
      <c r="E180" s="462"/>
      <c r="F180" s="462"/>
      <c r="G180" s="462"/>
      <c r="H180" s="462"/>
    </row>
    <row r="181" spans="2:8" x14ac:dyDescent="0.2">
      <c r="B181" s="461"/>
      <c r="C181" s="461"/>
      <c r="D181" s="462"/>
      <c r="E181" s="462"/>
      <c r="F181" s="462"/>
      <c r="G181" s="462"/>
      <c r="H181" s="462"/>
    </row>
    <row r="182" spans="2:8" x14ac:dyDescent="0.2">
      <c r="B182" s="461"/>
      <c r="C182" s="461"/>
      <c r="D182" s="462"/>
      <c r="E182" s="462"/>
      <c r="F182" s="462"/>
      <c r="G182" s="462"/>
      <c r="H182" s="462"/>
    </row>
    <row r="183" spans="2:8" x14ac:dyDescent="0.2">
      <c r="B183" s="461"/>
      <c r="C183" s="461"/>
      <c r="D183" s="462"/>
      <c r="E183" s="462"/>
      <c r="F183" s="462"/>
      <c r="G183" s="462"/>
      <c r="H183" s="462"/>
    </row>
    <row r="184" spans="2:8" x14ac:dyDescent="0.2">
      <c r="B184" s="461"/>
      <c r="C184" s="461"/>
      <c r="D184" s="462"/>
      <c r="E184" s="462"/>
      <c r="F184" s="462"/>
      <c r="G184" s="462"/>
      <c r="H184" s="462"/>
    </row>
    <row r="185" spans="2:8" x14ac:dyDescent="0.2">
      <c r="B185" s="461"/>
      <c r="C185" s="461"/>
      <c r="D185" s="462"/>
      <c r="E185" s="462"/>
      <c r="F185" s="462"/>
      <c r="G185" s="462"/>
      <c r="H185" s="462"/>
    </row>
    <row r="186" spans="2:8" x14ac:dyDescent="0.2">
      <c r="B186" s="461"/>
      <c r="C186" s="461"/>
      <c r="D186" s="462"/>
      <c r="E186" s="462"/>
      <c r="F186" s="462"/>
      <c r="G186" s="462"/>
      <c r="H186" s="462"/>
    </row>
    <row r="187" spans="2:8" x14ac:dyDescent="0.2">
      <c r="B187" s="461"/>
      <c r="C187" s="461"/>
      <c r="D187" s="462"/>
      <c r="E187" s="462"/>
      <c r="F187" s="462"/>
      <c r="G187" s="462"/>
      <c r="H187" s="462"/>
    </row>
    <row r="188" spans="2:8" x14ac:dyDescent="0.2">
      <c r="B188" s="461"/>
      <c r="C188" s="461"/>
      <c r="D188" s="462"/>
      <c r="E188" s="462"/>
      <c r="F188" s="462"/>
      <c r="G188" s="462"/>
      <c r="H188" s="462"/>
    </row>
    <row r="189" spans="2:8" x14ac:dyDescent="0.2">
      <c r="B189" s="461"/>
      <c r="C189" s="461"/>
      <c r="D189" s="462"/>
      <c r="E189" s="462"/>
      <c r="F189" s="462"/>
      <c r="G189" s="462"/>
      <c r="H189" s="462"/>
    </row>
    <row r="190" spans="2:8" x14ac:dyDescent="0.2">
      <c r="B190" s="461"/>
      <c r="C190" s="461"/>
      <c r="D190" s="462"/>
      <c r="E190" s="462"/>
      <c r="F190" s="462"/>
      <c r="G190" s="462"/>
      <c r="H190" s="462"/>
    </row>
    <row r="191" spans="2:8" x14ac:dyDescent="0.2">
      <c r="B191" s="461"/>
      <c r="C191" s="461"/>
      <c r="D191" s="462"/>
      <c r="E191" s="462"/>
      <c r="F191" s="462"/>
      <c r="G191" s="462"/>
      <c r="H191" s="462"/>
    </row>
    <row r="192" spans="2:8" x14ac:dyDescent="0.2">
      <c r="B192" s="461"/>
      <c r="C192" s="461"/>
      <c r="D192" s="462"/>
      <c r="E192" s="462"/>
      <c r="F192" s="462"/>
      <c r="G192" s="462"/>
      <c r="H192" s="462"/>
    </row>
    <row r="193" spans="2:8" x14ac:dyDescent="0.2">
      <c r="B193" s="461"/>
      <c r="C193" s="461"/>
      <c r="D193" s="462"/>
      <c r="E193" s="462"/>
      <c r="F193" s="462"/>
      <c r="G193" s="462"/>
      <c r="H193" s="462"/>
    </row>
    <row r="194" spans="2:8" x14ac:dyDescent="0.2">
      <c r="B194" s="461"/>
      <c r="C194" s="461"/>
      <c r="D194" s="462"/>
      <c r="E194" s="462"/>
      <c r="F194" s="462"/>
      <c r="G194" s="462"/>
      <c r="H194" s="462"/>
    </row>
    <row r="195" spans="2:8" x14ac:dyDescent="0.2">
      <c r="B195" s="461"/>
      <c r="C195" s="461"/>
      <c r="D195" s="462"/>
      <c r="E195" s="462"/>
      <c r="F195" s="462"/>
      <c r="G195" s="462"/>
      <c r="H195" s="462"/>
    </row>
    <row r="196" spans="2:8" x14ac:dyDescent="0.2">
      <c r="B196" s="461"/>
      <c r="C196" s="461"/>
      <c r="D196" s="462"/>
      <c r="E196" s="462"/>
      <c r="F196" s="462"/>
      <c r="G196" s="462"/>
      <c r="H196" s="462"/>
    </row>
    <row r="197" spans="2:8" x14ac:dyDescent="0.2">
      <c r="B197" s="461"/>
      <c r="C197" s="461"/>
      <c r="D197" s="462"/>
      <c r="E197" s="462"/>
      <c r="F197" s="462"/>
      <c r="G197" s="462"/>
      <c r="H197" s="462"/>
    </row>
    <row r="198" spans="2:8" x14ac:dyDescent="0.2">
      <c r="B198" s="461"/>
      <c r="C198" s="461"/>
      <c r="D198" s="462"/>
      <c r="E198" s="462"/>
      <c r="F198" s="462"/>
      <c r="G198" s="462"/>
      <c r="H198" s="462"/>
    </row>
    <row r="199" spans="2:8" x14ac:dyDescent="0.2">
      <c r="B199" s="461"/>
      <c r="C199" s="461"/>
      <c r="D199" s="462"/>
      <c r="E199" s="462"/>
      <c r="F199" s="462"/>
      <c r="G199" s="462"/>
      <c r="H199" s="462"/>
    </row>
    <row r="200" spans="2:8" x14ac:dyDescent="0.2">
      <c r="B200" s="461"/>
      <c r="C200" s="461"/>
      <c r="D200" s="462"/>
      <c r="E200" s="462"/>
      <c r="F200" s="462"/>
      <c r="G200" s="462"/>
      <c r="H200" s="462"/>
    </row>
    <row r="201" spans="2:8" x14ac:dyDescent="0.2">
      <c r="B201" s="461"/>
      <c r="C201" s="461"/>
      <c r="D201" s="462"/>
      <c r="E201" s="462"/>
      <c r="F201" s="462"/>
      <c r="G201" s="462"/>
      <c r="H201" s="462"/>
    </row>
    <row r="202" spans="2:8" x14ac:dyDescent="0.2">
      <c r="B202" s="461"/>
      <c r="C202" s="461"/>
      <c r="D202" s="462"/>
      <c r="E202" s="462"/>
      <c r="F202" s="462"/>
      <c r="G202" s="462"/>
      <c r="H202" s="462"/>
    </row>
    <row r="203" spans="2:8" x14ac:dyDescent="0.2">
      <c r="B203" s="461"/>
      <c r="C203" s="461"/>
      <c r="D203" s="462"/>
      <c r="E203" s="462"/>
      <c r="F203" s="462"/>
      <c r="G203" s="462"/>
      <c r="H203" s="462"/>
    </row>
    <row r="204" spans="2:8" x14ac:dyDescent="0.2">
      <c r="B204" s="461"/>
      <c r="C204" s="461"/>
      <c r="D204" s="462"/>
      <c r="E204" s="462"/>
      <c r="F204" s="462"/>
      <c r="G204" s="462"/>
      <c r="H204" s="462"/>
    </row>
    <row r="205" spans="2:8" x14ac:dyDescent="0.2">
      <c r="B205" s="461"/>
      <c r="C205" s="461"/>
      <c r="D205" s="462"/>
      <c r="E205" s="462"/>
      <c r="F205" s="462"/>
      <c r="G205" s="462"/>
      <c r="H205" s="462"/>
    </row>
    <row r="206" spans="2:8" x14ac:dyDescent="0.2">
      <c r="B206" s="461"/>
      <c r="C206" s="461"/>
      <c r="D206" s="462"/>
      <c r="E206" s="462"/>
      <c r="F206" s="462"/>
      <c r="G206" s="462"/>
      <c r="H206" s="462"/>
    </row>
    <row r="207" spans="2:8" x14ac:dyDescent="0.2">
      <c r="B207" s="461"/>
      <c r="C207" s="461"/>
      <c r="D207" s="462"/>
      <c r="E207" s="462"/>
      <c r="F207" s="462"/>
      <c r="G207" s="462"/>
      <c r="H207" s="462"/>
    </row>
    <row r="208" spans="2:8" x14ac:dyDescent="0.2">
      <c r="B208" s="461"/>
      <c r="C208" s="461"/>
      <c r="D208" s="462"/>
      <c r="E208" s="462"/>
      <c r="F208" s="462"/>
      <c r="G208" s="462"/>
      <c r="H208" s="462"/>
    </row>
    <row r="209" spans="2:8" x14ac:dyDescent="0.2">
      <c r="B209" s="461"/>
      <c r="C209" s="461"/>
      <c r="D209" s="462"/>
      <c r="E209" s="462"/>
      <c r="F209" s="462"/>
      <c r="G209" s="462"/>
      <c r="H209" s="462"/>
    </row>
    <row r="210" spans="2:8" x14ac:dyDescent="0.2">
      <c r="B210" s="461"/>
      <c r="C210" s="461"/>
      <c r="D210" s="462"/>
      <c r="E210" s="462"/>
      <c r="F210" s="462"/>
      <c r="G210" s="462"/>
      <c r="H210" s="462"/>
    </row>
    <row r="211" spans="2:8" x14ac:dyDescent="0.2">
      <c r="B211" s="461"/>
      <c r="C211" s="461"/>
      <c r="D211" s="462"/>
      <c r="E211" s="462"/>
      <c r="F211" s="462"/>
      <c r="G211" s="462"/>
      <c r="H211" s="462"/>
    </row>
    <row r="212" spans="2:8" x14ac:dyDescent="0.2">
      <c r="B212" s="461"/>
      <c r="C212" s="461"/>
      <c r="D212" s="462"/>
      <c r="E212" s="462"/>
      <c r="F212" s="462"/>
      <c r="G212" s="462"/>
      <c r="H212" s="462"/>
    </row>
    <row r="213" spans="2:8" x14ac:dyDescent="0.2">
      <c r="B213" s="461"/>
      <c r="C213" s="461"/>
      <c r="D213" s="462"/>
      <c r="E213" s="462"/>
      <c r="F213" s="462"/>
      <c r="G213" s="462"/>
      <c r="H213" s="462"/>
    </row>
    <row r="214" spans="2:8" x14ac:dyDescent="0.2">
      <c r="B214" s="461"/>
      <c r="C214" s="461"/>
      <c r="D214" s="462"/>
      <c r="E214" s="462"/>
      <c r="F214" s="462"/>
      <c r="G214" s="462"/>
      <c r="H214" s="462"/>
    </row>
    <row r="215" spans="2:8" x14ac:dyDescent="0.2">
      <c r="B215" s="461"/>
      <c r="C215" s="461"/>
      <c r="D215" s="462"/>
      <c r="E215" s="462"/>
      <c r="F215" s="462"/>
      <c r="G215" s="462"/>
      <c r="H215" s="462"/>
    </row>
    <row r="216" spans="2:8" x14ac:dyDescent="0.2">
      <c r="B216" s="461"/>
      <c r="C216" s="461"/>
      <c r="D216" s="462"/>
      <c r="E216" s="462"/>
      <c r="F216" s="462"/>
      <c r="G216" s="462"/>
      <c r="H216" s="462"/>
    </row>
    <row r="217" spans="2:8" x14ac:dyDescent="0.2">
      <c r="B217" s="461"/>
      <c r="C217" s="461"/>
      <c r="D217" s="462"/>
      <c r="E217" s="462"/>
      <c r="F217" s="462"/>
      <c r="G217" s="462"/>
      <c r="H217" s="462"/>
    </row>
    <row r="218" spans="2:8" x14ac:dyDescent="0.2">
      <c r="B218" s="461"/>
      <c r="C218" s="461"/>
      <c r="D218" s="462"/>
      <c r="E218" s="462"/>
      <c r="F218" s="462"/>
      <c r="G218" s="462"/>
      <c r="H218" s="462"/>
    </row>
    <row r="219" spans="2:8" x14ac:dyDescent="0.2">
      <c r="B219" s="461"/>
      <c r="C219" s="461"/>
      <c r="D219" s="462"/>
      <c r="E219" s="462"/>
      <c r="F219" s="462"/>
      <c r="G219" s="462"/>
      <c r="H219" s="462"/>
    </row>
    <row r="220" spans="2:8" x14ac:dyDescent="0.2">
      <c r="B220" s="461"/>
      <c r="C220" s="461"/>
      <c r="D220" s="462"/>
      <c r="E220" s="462"/>
      <c r="F220" s="462"/>
      <c r="G220" s="462"/>
      <c r="H220" s="462"/>
    </row>
    <row r="221" spans="2:8" x14ac:dyDescent="0.2">
      <c r="B221" s="461"/>
      <c r="C221" s="461"/>
      <c r="D221" s="462"/>
      <c r="E221" s="462"/>
      <c r="F221" s="462"/>
      <c r="G221" s="462"/>
      <c r="H221" s="462"/>
    </row>
    <row r="222" spans="2:8" x14ac:dyDescent="0.2">
      <c r="B222" s="461"/>
      <c r="C222" s="461"/>
      <c r="D222" s="462"/>
      <c r="E222" s="462"/>
      <c r="F222" s="462"/>
      <c r="G222" s="462"/>
      <c r="H222" s="462"/>
    </row>
    <row r="223" spans="2:8" x14ac:dyDescent="0.2">
      <c r="B223" s="461"/>
      <c r="C223" s="461"/>
      <c r="D223" s="462"/>
      <c r="E223" s="462"/>
      <c r="F223" s="462"/>
      <c r="G223" s="462"/>
      <c r="H223" s="462"/>
    </row>
    <row r="224" spans="2:8" x14ac:dyDescent="0.2">
      <c r="B224" s="461"/>
      <c r="C224" s="461"/>
      <c r="D224" s="462"/>
      <c r="E224" s="462"/>
      <c r="F224" s="462"/>
      <c r="G224" s="462"/>
      <c r="H224" s="462"/>
    </row>
    <row r="225" spans="2:8" x14ac:dyDescent="0.2">
      <c r="B225" s="461"/>
      <c r="C225" s="461"/>
      <c r="D225" s="462"/>
      <c r="E225" s="462"/>
      <c r="F225" s="462"/>
      <c r="G225" s="462"/>
      <c r="H225" s="462"/>
    </row>
    <row r="226" spans="2:8" x14ac:dyDescent="0.2">
      <c r="B226" s="461"/>
      <c r="C226" s="461"/>
      <c r="D226" s="462"/>
      <c r="E226" s="462"/>
      <c r="F226" s="462"/>
      <c r="G226" s="462"/>
      <c r="H226" s="462"/>
    </row>
    <row r="227" spans="2:8" x14ac:dyDescent="0.2">
      <c r="B227" s="461"/>
      <c r="C227" s="461"/>
      <c r="D227" s="462"/>
      <c r="E227" s="462"/>
      <c r="F227" s="462"/>
      <c r="G227" s="462"/>
      <c r="H227" s="462"/>
    </row>
    <row r="228" spans="2:8" x14ac:dyDescent="0.2">
      <c r="B228" s="461"/>
      <c r="C228" s="461"/>
      <c r="D228" s="462"/>
      <c r="E228" s="462"/>
      <c r="F228" s="462"/>
      <c r="G228" s="462"/>
      <c r="H228" s="462"/>
    </row>
    <row r="229" spans="2:8" x14ac:dyDescent="0.2">
      <c r="B229" s="461"/>
      <c r="C229" s="461"/>
      <c r="D229" s="462"/>
      <c r="E229" s="462"/>
      <c r="F229" s="462"/>
      <c r="G229" s="462"/>
      <c r="H229" s="462"/>
    </row>
    <row r="230" spans="2:8" x14ac:dyDescent="0.2">
      <c r="B230" s="461"/>
      <c r="C230" s="461"/>
      <c r="D230" s="462"/>
      <c r="E230" s="462"/>
      <c r="F230" s="462"/>
      <c r="G230" s="462"/>
      <c r="H230" s="462"/>
    </row>
    <row r="231" spans="2:8" x14ac:dyDescent="0.2">
      <c r="B231" s="461"/>
      <c r="C231" s="461"/>
      <c r="D231" s="462"/>
      <c r="E231" s="462"/>
      <c r="F231" s="462"/>
      <c r="G231" s="462"/>
      <c r="H231" s="462"/>
    </row>
    <row r="232" spans="2:8" x14ac:dyDescent="0.2">
      <c r="B232" s="461"/>
      <c r="C232" s="461"/>
      <c r="D232" s="462"/>
      <c r="E232" s="462"/>
      <c r="F232" s="462"/>
      <c r="G232" s="462"/>
      <c r="H232" s="462"/>
    </row>
    <row r="233" spans="2:8" x14ac:dyDescent="0.2">
      <c r="B233" s="461"/>
      <c r="C233" s="461"/>
      <c r="D233" s="462"/>
      <c r="E233" s="462"/>
      <c r="F233" s="462"/>
      <c r="G233" s="462"/>
      <c r="H233" s="462"/>
    </row>
    <row r="234" spans="2:8" x14ac:dyDescent="0.2">
      <c r="B234" s="461"/>
      <c r="C234" s="461"/>
      <c r="D234" s="462"/>
      <c r="E234" s="462"/>
      <c r="F234" s="462"/>
      <c r="G234" s="462"/>
      <c r="H234" s="462"/>
    </row>
    <row r="235" spans="2:8" x14ac:dyDescent="0.2">
      <c r="B235" s="461"/>
      <c r="C235" s="461"/>
      <c r="D235" s="462"/>
      <c r="E235" s="462"/>
      <c r="F235" s="462"/>
      <c r="G235" s="462"/>
      <c r="H235" s="462"/>
    </row>
    <row r="236" spans="2:8" x14ac:dyDescent="0.2">
      <c r="B236" s="461"/>
      <c r="C236" s="461"/>
      <c r="D236" s="462"/>
      <c r="E236" s="462"/>
      <c r="F236" s="462"/>
      <c r="G236" s="462"/>
      <c r="H236" s="462"/>
    </row>
    <row r="237" spans="2:8" x14ac:dyDescent="0.2">
      <c r="B237" s="461"/>
      <c r="C237" s="461"/>
      <c r="D237" s="462"/>
      <c r="E237" s="462"/>
      <c r="F237" s="462"/>
      <c r="G237" s="462"/>
      <c r="H237" s="462"/>
    </row>
    <row r="238" spans="2:8" x14ac:dyDescent="0.2">
      <c r="B238" s="461"/>
      <c r="C238" s="461"/>
      <c r="D238" s="462"/>
      <c r="E238" s="462"/>
      <c r="F238" s="462"/>
      <c r="G238" s="462"/>
      <c r="H238" s="462"/>
    </row>
    <row r="239" spans="2:8" x14ac:dyDescent="0.2">
      <c r="B239" s="461"/>
      <c r="C239" s="461"/>
      <c r="D239" s="462"/>
      <c r="E239" s="462"/>
      <c r="F239" s="462"/>
      <c r="G239" s="462"/>
      <c r="H239" s="462"/>
    </row>
    <row r="240" spans="2:8" x14ac:dyDescent="0.2">
      <c r="B240" s="461"/>
      <c r="C240" s="461"/>
      <c r="D240" s="462"/>
      <c r="E240" s="462"/>
      <c r="F240" s="462"/>
      <c r="G240" s="462"/>
      <c r="H240" s="462"/>
    </row>
    <row r="241" spans="2:8" x14ac:dyDescent="0.2">
      <c r="B241" s="461"/>
      <c r="C241" s="461"/>
      <c r="D241" s="462"/>
      <c r="E241" s="462"/>
      <c r="F241" s="462"/>
      <c r="G241" s="462"/>
      <c r="H241" s="462"/>
    </row>
    <row r="242" spans="2:8" x14ac:dyDescent="0.2">
      <c r="B242" s="461"/>
      <c r="C242" s="461"/>
      <c r="D242" s="462"/>
      <c r="E242" s="462"/>
      <c r="F242" s="462"/>
      <c r="G242" s="462"/>
      <c r="H242" s="462"/>
    </row>
    <row r="243" spans="2:8" x14ac:dyDescent="0.2">
      <c r="B243" s="461"/>
      <c r="C243" s="461"/>
      <c r="D243" s="462"/>
      <c r="E243" s="462"/>
      <c r="F243" s="462"/>
      <c r="G243" s="462"/>
      <c r="H243" s="462"/>
    </row>
    <row r="244" spans="2:8" x14ac:dyDescent="0.2">
      <c r="B244" s="461"/>
      <c r="C244" s="461"/>
      <c r="D244" s="462"/>
      <c r="E244" s="462"/>
      <c r="F244" s="462"/>
      <c r="G244" s="462"/>
      <c r="H244" s="462"/>
    </row>
    <row r="245" spans="2:8" x14ac:dyDescent="0.2">
      <c r="B245" s="461"/>
      <c r="C245" s="461"/>
      <c r="D245" s="462"/>
      <c r="E245" s="462"/>
      <c r="F245" s="462"/>
      <c r="G245" s="462"/>
      <c r="H245" s="462"/>
    </row>
    <row r="246" spans="2:8" x14ac:dyDescent="0.2">
      <c r="B246" s="461"/>
      <c r="C246" s="461"/>
      <c r="D246" s="462"/>
      <c r="E246" s="462"/>
      <c r="F246" s="462"/>
      <c r="G246" s="462"/>
      <c r="H246" s="462"/>
    </row>
    <row r="247" spans="2:8" x14ac:dyDescent="0.2">
      <c r="B247" s="461"/>
      <c r="C247" s="461"/>
      <c r="D247" s="462"/>
      <c r="E247" s="462"/>
      <c r="F247" s="462"/>
      <c r="G247" s="462"/>
      <c r="H247" s="462"/>
    </row>
    <row r="248" spans="2:8" x14ac:dyDescent="0.2">
      <c r="B248" s="461"/>
      <c r="C248" s="461"/>
      <c r="D248" s="462"/>
      <c r="E248" s="462"/>
      <c r="F248" s="462"/>
      <c r="G248" s="462"/>
      <c r="H248" s="462"/>
    </row>
    <row r="249" spans="2:8" x14ac:dyDescent="0.2">
      <c r="B249" s="461"/>
      <c r="C249" s="461"/>
      <c r="D249" s="462"/>
      <c r="E249" s="462"/>
      <c r="F249" s="462"/>
      <c r="G249" s="462"/>
      <c r="H249" s="462"/>
    </row>
    <row r="250" spans="2:8" x14ac:dyDescent="0.2">
      <c r="B250" s="461"/>
      <c r="C250" s="461"/>
      <c r="D250" s="462"/>
      <c r="E250" s="462"/>
      <c r="F250" s="462"/>
      <c r="G250" s="462"/>
      <c r="H250" s="462"/>
    </row>
    <row r="251" spans="2:8" x14ac:dyDescent="0.2">
      <c r="B251" s="461"/>
      <c r="C251" s="461"/>
      <c r="D251" s="462"/>
      <c r="E251" s="462"/>
      <c r="F251" s="462"/>
      <c r="G251" s="462"/>
      <c r="H251" s="462"/>
    </row>
    <row r="252" spans="2:8" x14ac:dyDescent="0.2">
      <c r="B252" s="461"/>
      <c r="C252" s="461"/>
      <c r="D252" s="462"/>
      <c r="E252" s="462"/>
      <c r="F252" s="462"/>
      <c r="G252" s="462"/>
      <c r="H252" s="462"/>
    </row>
    <row r="253" spans="2:8" x14ac:dyDescent="0.2">
      <c r="B253" s="461"/>
      <c r="C253" s="461"/>
      <c r="D253" s="462"/>
      <c r="E253" s="462"/>
      <c r="F253" s="462"/>
      <c r="G253" s="462"/>
      <c r="H253" s="462"/>
    </row>
    <row r="254" spans="2:8" x14ac:dyDescent="0.2">
      <c r="B254" s="461"/>
      <c r="C254" s="461"/>
      <c r="D254" s="462"/>
      <c r="E254" s="462"/>
      <c r="F254" s="462"/>
      <c r="G254" s="462"/>
      <c r="H254" s="462"/>
    </row>
    <row r="255" spans="2:8" x14ac:dyDescent="0.2">
      <c r="B255" s="461"/>
      <c r="C255" s="461"/>
      <c r="D255" s="462"/>
      <c r="E255" s="462"/>
      <c r="F255" s="462"/>
      <c r="G255" s="462"/>
      <c r="H255" s="462"/>
    </row>
    <row r="256" spans="2:8" x14ac:dyDescent="0.2">
      <c r="B256" s="461"/>
      <c r="C256" s="461"/>
      <c r="D256" s="462"/>
      <c r="E256" s="462"/>
      <c r="F256" s="462"/>
      <c r="G256" s="462"/>
      <c r="H256" s="462"/>
    </row>
    <row r="257" spans="2:8" x14ac:dyDescent="0.2">
      <c r="B257" s="461"/>
      <c r="C257" s="461"/>
      <c r="D257" s="462"/>
      <c r="E257" s="462"/>
      <c r="F257" s="462"/>
      <c r="G257" s="462"/>
      <c r="H257" s="462"/>
    </row>
    <row r="258" spans="2:8" x14ac:dyDescent="0.2">
      <c r="B258" s="461"/>
      <c r="C258" s="461"/>
      <c r="D258" s="462"/>
      <c r="E258" s="462"/>
      <c r="F258" s="462"/>
      <c r="G258" s="462"/>
      <c r="H258" s="462"/>
    </row>
    <row r="259" spans="2:8" x14ac:dyDescent="0.2">
      <c r="B259" s="461"/>
      <c r="C259" s="461"/>
      <c r="D259" s="462"/>
      <c r="E259" s="462"/>
      <c r="F259" s="462"/>
      <c r="G259" s="462"/>
      <c r="H259" s="462"/>
    </row>
    <row r="260" spans="2:8" x14ac:dyDescent="0.2">
      <c r="B260" s="461"/>
      <c r="C260" s="461"/>
      <c r="D260" s="462"/>
      <c r="E260" s="462"/>
      <c r="F260" s="462"/>
      <c r="G260" s="462"/>
      <c r="H260" s="462"/>
    </row>
    <row r="261" spans="2:8" x14ac:dyDescent="0.2">
      <c r="B261" s="461"/>
      <c r="C261" s="461"/>
      <c r="D261" s="462"/>
      <c r="E261" s="462"/>
      <c r="F261" s="462"/>
      <c r="G261" s="462"/>
      <c r="H261" s="462"/>
    </row>
    <row r="262" spans="2:8" x14ac:dyDescent="0.2">
      <c r="B262" s="461"/>
      <c r="C262" s="461"/>
      <c r="D262" s="462"/>
      <c r="E262" s="462"/>
      <c r="F262" s="462"/>
      <c r="G262" s="462"/>
      <c r="H262" s="462"/>
    </row>
    <row r="263" spans="2:8" x14ac:dyDescent="0.2">
      <c r="B263" s="461"/>
      <c r="C263" s="461"/>
      <c r="D263" s="462"/>
      <c r="E263" s="462"/>
      <c r="F263" s="462"/>
      <c r="G263" s="462"/>
      <c r="H263" s="462"/>
    </row>
    <row r="264" spans="2:8" x14ac:dyDescent="0.2">
      <c r="B264" s="461"/>
      <c r="C264" s="461"/>
      <c r="D264" s="462"/>
      <c r="E264" s="462"/>
      <c r="F264" s="462"/>
      <c r="G264" s="462"/>
      <c r="H264" s="462"/>
    </row>
    <row r="265" spans="2:8" x14ac:dyDescent="0.2">
      <c r="B265" s="461"/>
      <c r="C265" s="461"/>
      <c r="D265" s="462"/>
      <c r="E265" s="462"/>
      <c r="F265" s="462"/>
      <c r="G265" s="462"/>
      <c r="H265" s="462"/>
    </row>
    <row r="266" spans="2:8" ht="13.5" thickBot="1" x14ac:dyDescent="0.25">
      <c r="B266" s="461"/>
      <c r="C266" s="461"/>
      <c r="D266" s="462"/>
      <c r="E266" s="462"/>
      <c r="F266" s="462"/>
      <c r="G266" s="462"/>
      <c r="H266" s="462"/>
    </row>
    <row r="267" spans="2:8" ht="13.5" thickBot="1" x14ac:dyDescent="0.25">
      <c r="B267" s="466"/>
      <c r="C267" s="464"/>
      <c r="D267" s="464"/>
      <c r="E267" s="464"/>
      <c r="F267" s="464"/>
      <c r="G267" s="464"/>
      <c r="H267" s="465"/>
    </row>
  </sheetData>
  <sheetProtection password="CC5C" sheet="1" objects="1" scenarios="1" sort="0" autoFilter="0"/>
  <sortState ref="B11:H138">
    <sortCondition ref="E11"/>
    <sortCondition ref="G11"/>
    <sortCondition ref="B11"/>
  </sortState>
  <phoneticPr fontId="0" type="noConversion"/>
  <dataValidations count="2">
    <dataValidation type="list" errorStyle="information" allowBlank="1" showInputMessage="1" showErrorMessage="1" error="Odaberi iz popisa ponuđenog !!!" promptTitle="Status" prompt="Odaberi:_x000a_QA_x000a_WC" sqref="F139:F143">
      <formula1>$N$1:$N$3</formula1>
    </dataValidation>
    <dataValidation type="list" errorStyle="information" allowBlank="1" showInputMessage="1" showErrorMessage="1" error="Odaberi iz popisa ponuđenog !!!" promptTitle="Status" prompt="Odaberi:_x000a_QA_x000a_WC_x000a_ALT" sqref="F11:F138">
      <formula1>$N$1:$N$3</formula1>
    </dataValidation>
  </dataValidations>
  <printOptions horizontalCentered="1"/>
  <pageMargins left="0.19685039370078741" right="0.19685039370078741" top="0.19685039370078741" bottom="0.39370078740157483" header="0.51181102362204722" footer="0.51181102362204722"/>
  <pageSetup paperSize="9" orientation="portrait" horizontalDpi="1200" verticalDpi="1200" r:id="rId1"/>
  <headerFooter alignWithMargins="0"/>
  <rowBreaks count="3" manualBreakCount="3">
    <brk id="42" max="16383" man="1"/>
    <brk id="74" max="7" man="1"/>
    <brk id="106" max="7" man="1"/>
  </rowBreaks>
  <drawing r:id="rId2"/>
  <legacyDrawing r:id="rId3"/>
  <controls>
    <mc:AlternateContent xmlns:mc="http://schemas.openxmlformats.org/markup-compatibility/2006">
      <mc:Choice Requires="x14">
        <control shapeId="13318" r:id="rId4" name="Label1">
          <controlPr defaultSize="0" print="0" autoLine="0" r:id="rId5">
            <anchor moveWithCells="1" sizeWithCells="1">
              <from>
                <xdr:col>7</xdr:col>
                <xdr:colOff>361950</xdr:colOff>
                <xdr:row>0</xdr:row>
                <xdr:rowOff>0</xdr:rowOff>
              </from>
              <to>
                <xdr:col>8</xdr:col>
                <xdr:colOff>0</xdr:colOff>
                <xdr:row>0</xdr:row>
                <xdr:rowOff>152400</xdr:rowOff>
              </to>
            </anchor>
          </controlPr>
        </control>
      </mc:Choice>
      <mc:Fallback>
        <control shapeId="13318" r:id="rId4" name="Label1"/>
      </mc:Fallback>
    </mc:AlternateContent>
    <mc:AlternateContent xmlns:mc="http://schemas.openxmlformats.org/markup-compatibility/2006">
      <mc:Choice Requires="x14">
        <control shapeId="13317" r:id="rId6" name="Si_Sort_RangLista">
          <controlPr locked="0" defaultSize="0" print="0" autoLine="0" r:id="rId7">
            <anchor moveWithCells="1" sizeWithCells="1">
              <from>
                <xdr:col>7</xdr:col>
                <xdr:colOff>361950</xdr:colOff>
                <xdr:row>2</xdr:row>
                <xdr:rowOff>0</xdr:rowOff>
              </from>
              <to>
                <xdr:col>8</xdr:col>
                <xdr:colOff>0</xdr:colOff>
                <xdr:row>3</xdr:row>
                <xdr:rowOff>28575</xdr:rowOff>
              </to>
            </anchor>
          </controlPr>
        </control>
      </mc:Choice>
      <mc:Fallback>
        <control shapeId="13317" r:id="rId6" name="Si_Sort_RangLista"/>
      </mc:Fallback>
    </mc:AlternateContent>
    <mc:AlternateContent xmlns:mc="http://schemas.openxmlformats.org/markup-compatibility/2006">
      <mc:Choice Requires="x14">
        <control shapeId="13316" r:id="rId8" name="Si_Sort_Klub">
          <controlPr locked="0" defaultSize="0" print="0" autoLine="0" r:id="rId9">
            <anchor moveWithCells="1" sizeWithCells="1">
              <from>
                <xdr:col>7</xdr:col>
                <xdr:colOff>361950</xdr:colOff>
                <xdr:row>1</xdr:row>
                <xdr:rowOff>9525</xdr:rowOff>
              </from>
              <to>
                <xdr:col>8</xdr:col>
                <xdr:colOff>0</xdr:colOff>
                <xdr:row>2</xdr:row>
                <xdr:rowOff>19050</xdr:rowOff>
              </to>
            </anchor>
          </controlPr>
        </control>
      </mc:Choice>
      <mc:Fallback>
        <control shapeId="13316" r:id="rId8" name="Si_Sort_Klub"/>
      </mc:Fallback>
    </mc:AlternateContent>
    <mc:AlternateContent xmlns:mc="http://schemas.openxmlformats.org/markup-compatibility/2006">
      <mc:Choice Requires="x14">
        <control shapeId="13315" r:id="rId10" name="Si_Sort_Prezime">
          <controlPr locked="0" defaultSize="0" print="0" autoLine="0" r:id="rId11">
            <anchor moveWithCells="1" sizeWithCells="1">
              <from>
                <xdr:col>7</xdr:col>
                <xdr:colOff>361950</xdr:colOff>
                <xdr:row>0</xdr:row>
                <xdr:rowOff>142875</xdr:rowOff>
              </from>
              <to>
                <xdr:col>8</xdr:col>
                <xdr:colOff>0</xdr:colOff>
                <xdr:row>1</xdr:row>
                <xdr:rowOff>66675</xdr:rowOff>
              </to>
            </anchor>
          </controlPr>
        </control>
      </mc:Choice>
      <mc:Fallback>
        <control shapeId="13315" r:id="rId10" name="Si_Sort_Prezim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402" enableFormatConditionsCalculation="0">
    <tabColor indexed="24"/>
  </sheetPr>
  <dimension ref="A1:U233"/>
  <sheetViews>
    <sheetView showGridLines="0" showRowColHeaders="0" showZeros="0" view="pageBreakPreview" zoomScaleNormal="100" zoomScaleSheetLayoutView="100" workbookViewId="0">
      <pane ySplit="6" topLeftCell="A7" activePane="bottomLeft" state="frozen"/>
      <selection pane="bottomLeft" activeCell="M58" sqref="M58"/>
    </sheetView>
  </sheetViews>
  <sheetFormatPr defaultRowHeight="12.75" x14ac:dyDescent="0.2"/>
  <cols>
    <col min="1" max="1" width="3.7109375" style="14" customWidth="1"/>
    <col min="2" max="4" width="4.7109375" style="14" customWidth="1"/>
    <col min="5" max="5" width="16.7109375" style="14" customWidth="1"/>
    <col min="6" max="6" width="4.7109375" style="14" customWidth="1"/>
    <col min="7" max="7" width="5.7109375" style="14" customWidth="1"/>
    <col min="8" max="8" width="1.7109375" style="14" customWidth="1"/>
    <col min="9" max="9" width="11.7109375" style="14" customWidth="1"/>
    <col min="10" max="11" width="4.7109375" style="14" customWidth="1"/>
    <col min="12" max="12" width="1.7109375" style="14" customWidth="1"/>
    <col min="13" max="13" width="10.7109375" style="14" customWidth="1"/>
    <col min="14" max="14" width="9.7109375" style="14" customWidth="1"/>
    <col min="15" max="15" width="6.7109375" style="14" customWidth="1"/>
    <col min="16" max="16" width="15.5703125" style="14" customWidth="1"/>
    <col min="17" max="18" width="10.7109375" style="14" customWidth="1"/>
    <col min="19" max="19" width="9.140625" style="14"/>
    <col min="20" max="20" width="9.140625" style="14" hidden="1" customWidth="1"/>
    <col min="21" max="21" width="4.5703125" style="14" hidden="1" customWidth="1"/>
    <col min="22" max="16384" width="9.140625" style="14"/>
  </cols>
  <sheetData>
    <row r="1" spans="1:21" ht="23.25" customHeight="1" x14ac:dyDescent="0.3">
      <c r="A1" s="11" t="str">
        <f>Pocetna!$B$7</f>
        <v xml:space="preserve">OP SAMOBORA </v>
      </c>
      <c r="B1" s="12"/>
      <c r="C1" s="12"/>
      <c r="D1" s="12"/>
      <c r="E1" s="12"/>
      <c r="F1" s="13"/>
      <c r="G1" s="13"/>
      <c r="H1" s="13"/>
      <c r="I1" s="13"/>
      <c r="J1" s="13"/>
      <c r="K1" s="13"/>
      <c r="L1" s="13"/>
      <c r="M1" s="13"/>
      <c r="N1" s="122"/>
      <c r="O1" s="13"/>
      <c r="P1" s="134"/>
      <c r="Q1" s="271"/>
      <c r="R1" s="271"/>
      <c r="S1" s="518" t="s">
        <v>312</v>
      </c>
      <c r="T1" s="519" t="s">
        <v>312</v>
      </c>
      <c r="U1" s="136" t="str">
        <f>Izvjestaj!U1</f>
        <v>bez suca</v>
      </c>
    </row>
    <row r="2" spans="1:21" ht="13.5" customHeight="1" x14ac:dyDescent="0.2">
      <c r="A2" s="39" t="str">
        <f>Pocetna!$B$10</f>
        <v>dječaci do 12 god.</v>
      </c>
      <c r="B2" s="39"/>
      <c r="C2" s="39"/>
      <c r="D2" s="39"/>
      <c r="E2" s="39"/>
      <c r="F2" s="13"/>
      <c r="G2" s="13"/>
      <c r="H2" s="13"/>
      <c r="I2" s="15"/>
      <c r="J2" s="15"/>
      <c r="K2" s="15"/>
      <c r="L2" s="73" t="s">
        <v>114</v>
      </c>
      <c r="M2" s="15"/>
      <c r="N2" s="15"/>
      <c r="O2" s="13"/>
      <c r="P2" s="13"/>
      <c r="Q2" s="271"/>
      <c r="R2" s="271"/>
      <c r="S2" s="520">
        <v>20</v>
      </c>
      <c r="T2" s="131">
        <v>4</v>
      </c>
      <c r="U2" s="137">
        <f>Izvjestaj!U2</f>
        <v>0</v>
      </c>
    </row>
    <row r="3" spans="1:21" ht="13.5" customHeight="1" x14ac:dyDescent="0.2">
      <c r="A3" s="17"/>
      <c r="B3" s="17"/>
      <c r="C3" s="17"/>
      <c r="D3" s="17"/>
      <c r="E3" s="17"/>
      <c r="F3" s="17"/>
      <c r="G3" s="17"/>
      <c r="H3" s="17"/>
      <c r="I3" s="17"/>
      <c r="J3" s="17"/>
      <c r="K3" s="17"/>
      <c r="L3" s="73"/>
      <c r="M3" s="15"/>
      <c r="N3" s="15"/>
      <c r="O3" s="15"/>
      <c r="P3" s="15"/>
      <c r="Q3" s="15"/>
      <c r="R3" s="145"/>
      <c r="T3" s="131">
        <v>8</v>
      </c>
      <c r="U3" s="137" t="str">
        <f>Izvjestaj!U3</f>
        <v>gs 1</v>
      </c>
    </row>
    <row r="4" spans="1:21" ht="13.5" customHeight="1" x14ac:dyDescent="0.2">
      <c r="A4" s="40" t="str">
        <f>Pocetna!$B$11</f>
        <v>Datum turnira</v>
      </c>
      <c r="B4" s="40"/>
      <c r="C4" s="40"/>
      <c r="D4" s="40"/>
      <c r="E4" s="40" t="str">
        <f>Pocetna!$D$11</f>
        <v>Organizator</v>
      </c>
      <c r="F4" s="40"/>
      <c r="G4" s="40"/>
      <c r="H4" s="40"/>
      <c r="I4" s="40" t="str">
        <f>Pocetna!$E$11</f>
        <v>Mjesto</v>
      </c>
      <c r="J4" s="40"/>
      <c r="K4" s="40"/>
      <c r="L4" s="40"/>
      <c r="M4" s="40" t="str">
        <f>Pocetna!$C$11</f>
        <v>ID turnira</v>
      </c>
      <c r="N4" s="40"/>
      <c r="O4" s="40"/>
      <c r="P4" s="40"/>
      <c r="Q4" s="40"/>
      <c r="R4" s="41" t="str">
        <f>Pocetna!$F$11</f>
        <v>Vrhovni sudac</v>
      </c>
      <c r="T4" s="131">
        <v>16</v>
      </c>
      <c r="U4" s="137" t="str">
        <f>Izvjestaj!U4</f>
        <v>gs 2</v>
      </c>
    </row>
    <row r="5" spans="1:21" ht="13.5" customHeight="1" thickBot="1" x14ac:dyDescent="0.25">
      <c r="A5" s="667" t="str">
        <f>Pocetna!$B$12</f>
        <v>(22.)24.-26.04.2016.</v>
      </c>
      <c r="B5" s="42"/>
      <c r="C5" s="42"/>
      <c r="D5" s="42"/>
      <c r="E5" s="42" t="str">
        <f>Pocetna!$D$12</f>
        <v>TK Samobor1890</v>
      </c>
      <c r="F5" s="42"/>
      <c r="G5" s="42"/>
      <c r="H5" s="42"/>
      <c r="I5" s="42" t="str">
        <f>Pocetna!$E$12</f>
        <v>Samobor</v>
      </c>
      <c r="J5" s="42"/>
      <c r="K5" s="42"/>
      <c r="L5" s="42"/>
      <c r="M5" s="42" t="str">
        <f>Pocetna!$C$12</f>
        <v>R12_20160422_SAM</v>
      </c>
      <c r="N5" s="38"/>
      <c r="O5" s="42"/>
      <c r="P5" s="42"/>
      <c r="Q5" s="42"/>
      <c r="R5" s="43" t="str">
        <f>Pocetna!$F$12</f>
        <v>Mladen Šančić</v>
      </c>
      <c r="T5" s="210">
        <v>32</v>
      </c>
      <c r="U5" s="137" t="str">
        <f>Izvjestaj!U5</f>
        <v>gs 3</v>
      </c>
    </row>
    <row r="6" spans="1:21" ht="26.25" customHeight="1" x14ac:dyDescent="0.2">
      <c r="A6" s="20"/>
      <c r="B6" s="163" t="s">
        <v>6</v>
      </c>
      <c r="C6" s="163" t="s">
        <v>7</v>
      </c>
      <c r="D6" s="164" t="s">
        <v>8</v>
      </c>
      <c r="E6" s="642" t="s">
        <v>9</v>
      </c>
      <c r="F6" s="642"/>
      <c r="G6" s="163" t="s">
        <v>1</v>
      </c>
      <c r="H6" s="163"/>
      <c r="I6" s="642" t="s">
        <v>115</v>
      </c>
      <c r="J6" s="642"/>
      <c r="K6" s="642" t="s">
        <v>116</v>
      </c>
      <c r="L6" s="642"/>
      <c r="M6" s="642"/>
      <c r="N6" s="642" t="s">
        <v>117</v>
      </c>
      <c r="O6" s="642"/>
      <c r="P6" s="163" t="s">
        <v>118</v>
      </c>
      <c r="Q6" s="197" t="s">
        <v>119</v>
      </c>
      <c r="R6" s="163" t="s">
        <v>120</v>
      </c>
      <c r="U6" s="137" t="str">
        <f>Izvjestaj!U6</f>
        <v>gs 4</v>
      </c>
    </row>
    <row r="7" spans="1:21" ht="12.75" customHeight="1" x14ac:dyDescent="0.2">
      <c r="A7" s="189"/>
      <c r="B7" s="165"/>
      <c r="C7" s="165"/>
      <c r="D7" s="205"/>
      <c r="E7" s="165"/>
      <c r="F7" s="165"/>
      <c r="G7" s="165"/>
      <c r="H7" s="165"/>
      <c r="I7" s="165"/>
      <c r="J7" s="165"/>
      <c r="K7" s="165"/>
      <c r="L7" s="165"/>
      <c r="M7" s="165"/>
      <c r="N7" s="165"/>
      <c r="O7" s="165"/>
      <c r="P7" s="165"/>
      <c r="Q7" s="204"/>
      <c r="R7" s="165"/>
      <c r="U7" s="137" t="str">
        <f>Izvjestaj!U7</f>
        <v>gs 5</v>
      </c>
    </row>
    <row r="8" spans="1:21" ht="12.75" customHeight="1" x14ac:dyDescent="0.2">
      <c r="A8" s="189"/>
      <c r="B8" s="165"/>
      <c r="C8" s="165"/>
      <c r="D8" s="206"/>
      <c r="E8" s="165"/>
      <c r="F8" s="165"/>
      <c r="G8" s="165"/>
      <c r="H8" s="165"/>
      <c r="I8" s="165"/>
      <c r="J8" s="165"/>
      <c r="K8" s="165"/>
      <c r="L8" s="165"/>
      <c r="M8" s="165"/>
      <c r="N8" s="165"/>
      <c r="O8" s="165"/>
      <c r="P8" s="165"/>
      <c r="Q8" s="204"/>
      <c r="R8" s="165"/>
      <c r="U8" s="137" t="str">
        <f>Izvjestaj!U8</f>
        <v>gs 6</v>
      </c>
    </row>
    <row r="9" spans="1:21" ht="12.75" customHeight="1" x14ac:dyDescent="0.2">
      <c r="A9" s="13"/>
      <c r="B9" s="13"/>
      <c r="C9" s="13"/>
      <c r="D9" s="207"/>
      <c r="E9" s="13"/>
      <c r="F9" s="13"/>
      <c r="G9" s="13"/>
      <c r="H9" s="13"/>
      <c r="I9" s="13"/>
      <c r="J9" s="13"/>
      <c r="K9" s="13"/>
      <c r="L9" s="13"/>
      <c r="M9" s="13"/>
      <c r="N9" s="13"/>
      <c r="O9" s="13"/>
      <c r="P9" s="13"/>
      <c r="Q9" s="13"/>
      <c r="R9" s="175"/>
      <c r="U9" s="137" t="str">
        <f>Izvjestaj!U9</f>
        <v>gs 7</v>
      </c>
    </row>
    <row r="10" spans="1:21" ht="26.25" customHeight="1" x14ac:dyDescent="0.2">
      <c r="A10" s="174" t="s">
        <v>101</v>
      </c>
      <c r="B10" s="190"/>
      <c r="C10" s="190"/>
      <c r="D10" s="239"/>
      <c r="E10" s="193"/>
      <c r="F10" s="193"/>
      <c r="G10" s="191"/>
      <c r="H10" s="25"/>
      <c r="I10" s="638" t="str">
        <f>IF($D11&gt;0,LEFT($E11,FIND(", ",$E11)-1),"")</f>
        <v>NOTHIG</v>
      </c>
      <c r="J10" s="639"/>
      <c r="K10" s="640" t="str">
        <f>IF($D13&gt;0,LEFT($E13,FIND(", ",$E13)-1),"")</f>
        <v>DRAŽIĆ</v>
      </c>
      <c r="L10" s="640"/>
      <c r="M10" s="640"/>
      <c r="N10" s="638" t="str">
        <f>IF($D15&gt;0,LEFT($E15,FIND(", ",$E15)-1),"")</f>
        <v>CVJETKOVIĆ</v>
      </c>
      <c r="O10" s="639"/>
      <c r="P10" s="129" t="str">
        <f>IF($D17&gt;0,LEFT($E17,FIND(", ",$E17)-1),"")</f>
        <v>KUHAR</v>
      </c>
      <c r="Q10" s="198" t="s">
        <v>119</v>
      </c>
      <c r="R10" s="199" t="s">
        <v>120</v>
      </c>
      <c r="U10" s="137" t="str">
        <f>Izvjestaj!U10</f>
        <v>gs 8</v>
      </c>
    </row>
    <row r="11" spans="1:21" ht="26.25" customHeight="1" x14ac:dyDescent="0.2">
      <c r="A11" s="195">
        <v>1</v>
      </c>
      <c r="B11" s="147">
        <f>IF($D11="","",VLOOKUP($D11,'Si Q priprema'!$A$11:$F$138,5))</f>
        <v>44</v>
      </c>
      <c r="C11" s="147" t="str">
        <f>IF($D11="","",UPPER(IF(OR(VLOOKUP($D11,'Si Q priprema'!$A$11:$F$138,6)=0,VLOOKUP($D11,'Si Q priprema'!$A$11:$F$138,6)="QA"),"",VLOOKUP($D11,'Si Q priprema'!$A$11:$F$138,6))))</f>
        <v/>
      </c>
      <c r="D11" s="194">
        <v>1</v>
      </c>
      <c r="E11" s="608" t="str">
        <f>IF($D11="","",UPPER(VLOOKUP($D11,'Si Q priprema'!$A$11:$F$138,2))&amp;", "&amp;VLOOKUP($D11,'Si Q priprema'!$A$11:$F$138,3))</f>
        <v>NOTHIG, Karlo</v>
      </c>
      <c r="F11" s="609"/>
      <c r="G11" s="196" t="str">
        <f>IF($D11="","",UPPER(VLOOKUP($D11,'Si Q priprema'!$A$11:$F$138,4)))</f>
        <v>ITE</v>
      </c>
      <c r="H11" s="208"/>
      <c r="I11" s="634"/>
      <c r="J11" s="635"/>
      <c r="K11" s="632" t="s">
        <v>489</v>
      </c>
      <c r="L11" s="641"/>
      <c r="M11" s="633"/>
      <c r="N11" s="632" t="s">
        <v>493</v>
      </c>
      <c r="O11" s="633"/>
      <c r="P11" s="194" t="s">
        <v>489</v>
      </c>
      <c r="Q11" s="662" t="s">
        <v>605</v>
      </c>
      <c r="R11" s="621">
        <v>1</v>
      </c>
      <c r="U11" s="137" t="str">
        <f>Izvjestaj!U11</f>
        <v>gs 9</v>
      </c>
    </row>
    <row r="12" spans="1:21" ht="12.75" customHeight="1" x14ac:dyDescent="0.2">
      <c r="A12" s="241"/>
      <c r="B12" s="202"/>
      <c r="C12" s="202"/>
      <c r="D12" s="242"/>
      <c r="E12" s="202"/>
      <c r="F12" s="202"/>
      <c r="G12" s="202"/>
      <c r="H12" s="202"/>
      <c r="I12" s="636"/>
      <c r="J12" s="637"/>
      <c r="K12" s="623" t="s">
        <v>77</v>
      </c>
      <c r="L12" s="625"/>
      <c r="M12" s="624"/>
      <c r="N12" s="623" t="s">
        <v>77</v>
      </c>
      <c r="O12" s="624"/>
      <c r="P12" s="243" t="s">
        <v>77</v>
      </c>
      <c r="Q12" s="244"/>
      <c r="R12" s="622"/>
      <c r="U12" s="137" t="str">
        <f>Izvjestaj!U12</f>
        <v>gs 10</v>
      </c>
    </row>
    <row r="13" spans="1:21" ht="26.25" customHeight="1" x14ac:dyDescent="0.2">
      <c r="A13" s="195">
        <v>2</v>
      </c>
      <c r="B13" s="147">
        <f>IF($D13="","",VLOOKUP($D13,'Si Q priprema'!$A$11:$F$138,5))</f>
        <v>0</v>
      </c>
      <c r="C13" s="147" t="str">
        <f>IF($D13="","",UPPER(IF(OR(VLOOKUP($D13,'Si Q priprema'!$A$11:$F$138,6)=0,VLOOKUP($D13,'Si Q priprema'!$A$11:$F$138,6)="QA"),"",VLOOKUP($D13,'Si Q priprema'!$A$11:$F$138,6))))</f>
        <v/>
      </c>
      <c r="D13" s="194">
        <v>25</v>
      </c>
      <c r="E13" s="608" t="str">
        <f>IF($D13="","",UPPER(VLOOKUP($D13,'Si Q priprema'!$A$11:$F$138,2))&amp;", "&amp;VLOOKUP($D13,'Si Q priprema'!$A$11:$F$138,3))</f>
        <v>DRAŽIĆ, Ivor</v>
      </c>
      <c r="F13" s="609"/>
      <c r="G13" s="196" t="str">
        <f>IF($D13="","",UPPER(VLOOKUP($D13,'Si Q priprema'!$A$11:$F$138,4)))</f>
        <v>SAM</v>
      </c>
      <c r="H13" s="183"/>
      <c r="I13" s="610" t="str">
        <f>MID(K11,2,1)&amp;""&amp;MID(K11,1,1)&amp;" "&amp;MID(K11,5,1)&amp;""&amp;MID(K11,4,1)&amp;" "&amp;MID(K11,8,1)&amp;""&amp;MID(K11,7,1)</f>
        <v xml:space="preserve">06 06 </v>
      </c>
      <c r="J13" s="611"/>
      <c r="K13" s="626"/>
      <c r="L13" s="627"/>
      <c r="M13" s="628"/>
      <c r="N13" s="632" t="s">
        <v>529</v>
      </c>
      <c r="O13" s="633"/>
      <c r="P13" s="194" t="s">
        <v>507</v>
      </c>
      <c r="Q13" s="662" t="s">
        <v>606</v>
      </c>
      <c r="R13" s="621">
        <v>2</v>
      </c>
      <c r="U13" s="137" t="str">
        <f>Izvjestaj!U13</f>
        <v>gs 11</v>
      </c>
    </row>
    <row r="14" spans="1:21" ht="12.75" customHeight="1" x14ac:dyDescent="0.2">
      <c r="A14" s="241"/>
      <c r="B14" s="202"/>
      <c r="C14" s="202"/>
      <c r="D14" s="242"/>
      <c r="E14" s="202"/>
      <c r="F14" s="202"/>
      <c r="G14" s="202"/>
      <c r="H14" s="237"/>
      <c r="I14" s="623" t="s">
        <v>77</v>
      </c>
      <c r="J14" s="624"/>
      <c r="K14" s="629"/>
      <c r="L14" s="630"/>
      <c r="M14" s="631"/>
      <c r="N14" s="623" t="s">
        <v>77</v>
      </c>
      <c r="O14" s="624"/>
      <c r="P14" s="243" t="s">
        <v>77</v>
      </c>
      <c r="Q14" s="244"/>
      <c r="R14" s="622"/>
      <c r="U14" s="137" t="str">
        <f>Izvjestaj!U14</f>
        <v>gs 12</v>
      </c>
    </row>
    <row r="15" spans="1:21" ht="26.25" customHeight="1" x14ac:dyDescent="0.2">
      <c r="A15" s="195">
        <v>3</v>
      </c>
      <c r="B15" s="147">
        <f>IF($D15="","",VLOOKUP($D15,'Si Q priprema'!$A$11:$F$138,5))</f>
        <v>0</v>
      </c>
      <c r="C15" s="147" t="str">
        <f>IF($D15="","",UPPER(IF(OR(VLOOKUP($D15,'Si Q priprema'!$A$11:$F$138,6)=0,VLOOKUP($D15,'Si Q priprema'!$A$11:$F$138,6)="QA"),"",VLOOKUP($D15,'Si Q priprema'!$A$11:$F$138,6))))</f>
        <v/>
      </c>
      <c r="D15" s="194">
        <v>24</v>
      </c>
      <c r="E15" s="608" t="str">
        <f>IF($D15="","",UPPER(VLOOKUP($D15,'Si Q priprema'!$A$11:$F$138,2))&amp;", "&amp;VLOOKUP($D15,'Si Q priprema'!$A$11:$F$138,3))</f>
        <v>CVJETKOVIĆ, Marin</v>
      </c>
      <c r="F15" s="609"/>
      <c r="G15" s="196" t="str">
        <f>IF($D15="","",UPPER(VLOOKUP($D15,'Si Q priprema'!$A$11:$F$138,4)))</f>
        <v>MOV</v>
      </c>
      <c r="H15" s="183"/>
      <c r="I15" s="610" t="str">
        <f>MID(N11,2,1)&amp;""&amp;MID(N11,1,1)&amp;" "&amp;MID(N11,5,1)&amp;""&amp;MID(N11,4,1)&amp;" "&amp;MID(N11,8,1)&amp;""&amp;MID(N11,7,1)</f>
        <v xml:space="preserve">06 16 </v>
      </c>
      <c r="J15" s="611"/>
      <c r="K15" s="618" t="str">
        <f>MID(N13,2,1)&amp;""&amp;MID(N13,1,1)&amp;" "&amp;MID(N13,5,1)&amp;""&amp;MID(N13,4,1)&amp;" "&amp;MID(N13,8,1)&amp;""&amp;MID(N13,7,1)</f>
        <v>61 36 26</v>
      </c>
      <c r="L15" s="618"/>
      <c r="M15" s="618"/>
      <c r="N15" s="634"/>
      <c r="O15" s="635"/>
      <c r="P15" s="194" t="s">
        <v>490</v>
      </c>
      <c r="Q15" s="662" t="s">
        <v>607</v>
      </c>
      <c r="R15" s="621">
        <v>3</v>
      </c>
      <c r="U15" s="137" t="str">
        <f>Izvjestaj!U15</f>
        <v>gs 13</v>
      </c>
    </row>
    <row r="16" spans="1:21" ht="12.75" customHeight="1" x14ac:dyDescent="0.2">
      <c r="A16" s="241"/>
      <c r="B16" s="202"/>
      <c r="C16" s="202"/>
      <c r="D16" s="242"/>
      <c r="E16" s="202"/>
      <c r="F16" s="202"/>
      <c r="G16" s="202"/>
      <c r="H16" s="237"/>
      <c r="I16" s="623" t="s">
        <v>77</v>
      </c>
      <c r="J16" s="624"/>
      <c r="K16" s="623" t="s">
        <v>77</v>
      </c>
      <c r="L16" s="625"/>
      <c r="M16" s="624"/>
      <c r="N16" s="636"/>
      <c r="O16" s="637"/>
      <c r="P16" s="243" t="s">
        <v>77</v>
      </c>
      <c r="Q16" s="244"/>
      <c r="R16" s="622"/>
      <c r="U16" s="137" t="str">
        <f>Izvjestaj!U16</f>
        <v>gs 14</v>
      </c>
    </row>
    <row r="17" spans="1:21" ht="26.25" customHeight="1" x14ac:dyDescent="0.2">
      <c r="A17" s="195">
        <v>4</v>
      </c>
      <c r="B17" s="147">
        <f>IF($D17="","",VLOOKUP($D17,'Si Q priprema'!$A$11:$F$138,5))</f>
        <v>0</v>
      </c>
      <c r="C17" s="147" t="str">
        <f>IF($D17="","",UPPER(IF(OR(VLOOKUP($D17,'Si Q priprema'!$A$11:$F$138,6)=0,VLOOKUP($D17,'Si Q priprema'!$A$11:$F$138,6)="QA"),"",VLOOKUP($D17,'Si Q priprema'!$A$11:$F$138,6))))</f>
        <v/>
      </c>
      <c r="D17" s="194">
        <v>29</v>
      </c>
      <c r="E17" s="608" t="str">
        <f>IF($D17="","",UPPER(VLOOKUP($D17,'Si Q priprema'!$A$11:$F$138,2))&amp;", "&amp;VLOOKUP($D17,'Si Q priprema'!$A$11:$F$138,3))</f>
        <v>KUHAR, Val</v>
      </c>
      <c r="F17" s="609"/>
      <c r="G17" s="196" t="str">
        <f>IF($D17="","",UPPER(VLOOKUP($D17,'Si Q priprema'!$A$11:$F$138,4)))</f>
        <v>IMZ</v>
      </c>
      <c r="H17" s="183"/>
      <c r="I17" s="610" t="str">
        <f>MID(P11,2,1)&amp;""&amp;MID(P11,1,1)&amp;" "&amp;MID(P11,5,1)&amp;""&amp;MID(P11,4,1)&amp;" "&amp;MID(P11,8,1)&amp;""&amp;MID(P11,7,1)</f>
        <v xml:space="preserve">06 06 </v>
      </c>
      <c r="J17" s="611"/>
      <c r="K17" s="618" t="s">
        <v>506</v>
      </c>
      <c r="L17" s="618"/>
      <c r="M17" s="618"/>
      <c r="N17" s="610" t="str">
        <f>MID(P15,2,1)&amp;""&amp;MID(P15,1,1)&amp;" "&amp;MID(P15,5,1)&amp;""&amp;MID(P15,4,1)&amp;" "&amp;MID(P15,8,1)&amp;""&amp;MID(P15,7,1)</f>
        <v xml:space="preserve">16 26 </v>
      </c>
      <c r="O17" s="611"/>
      <c r="P17" s="619"/>
      <c r="Q17" s="662" t="s">
        <v>608</v>
      </c>
      <c r="R17" s="621">
        <v>4</v>
      </c>
      <c r="S17" s="193"/>
      <c r="U17" s="138" t="str">
        <f>Izvjestaj!U17</f>
        <v>gs 15</v>
      </c>
    </row>
    <row r="18" spans="1:21" ht="12.75" customHeight="1" x14ac:dyDescent="0.2">
      <c r="A18" s="241"/>
      <c r="B18" s="202"/>
      <c r="C18" s="202"/>
      <c r="D18" s="242"/>
      <c r="E18" s="202"/>
      <c r="F18" s="202"/>
      <c r="G18" s="202"/>
      <c r="H18" s="237"/>
      <c r="I18" s="623" t="s">
        <v>77</v>
      </c>
      <c r="J18" s="624"/>
      <c r="K18" s="623" t="s">
        <v>77</v>
      </c>
      <c r="L18" s="625"/>
      <c r="M18" s="624"/>
      <c r="N18" s="623" t="s">
        <v>77</v>
      </c>
      <c r="O18" s="624"/>
      <c r="P18" s="620"/>
      <c r="Q18" s="244"/>
      <c r="R18" s="622"/>
    </row>
    <row r="19" spans="1:21" ht="12.75" customHeight="1" x14ac:dyDescent="0.2">
      <c r="A19" s="149"/>
      <c r="B19" s="149"/>
      <c r="C19" s="149"/>
      <c r="D19" s="239"/>
      <c r="E19" s="149"/>
      <c r="F19" s="149"/>
      <c r="G19" s="149"/>
      <c r="H19" s="149"/>
      <c r="I19" s="236"/>
      <c r="J19" s="236"/>
      <c r="K19" s="236"/>
      <c r="L19" s="236"/>
      <c r="M19" s="236"/>
      <c r="N19" s="236"/>
      <c r="O19" s="236"/>
      <c r="P19" s="245"/>
      <c r="Q19" s="149"/>
      <c r="R19" s="246"/>
    </row>
    <row r="20" spans="1:21" ht="12.75" customHeight="1" x14ac:dyDescent="0.2">
      <c r="D20" s="239"/>
    </row>
    <row r="21" spans="1:21" ht="26.25" customHeight="1" x14ac:dyDescent="0.2">
      <c r="A21" s="174" t="s">
        <v>102</v>
      </c>
      <c r="B21" s="190"/>
      <c r="C21" s="190"/>
      <c r="D21" s="239"/>
      <c r="E21" s="193"/>
      <c r="F21" s="193"/>
      <c r="G21" s="191"/>
      <c r="H21" s="25"/>
      <c r="I21" s="638" t="str">
        <f>IF($D22&gt;0,LEFT($E22,FIND(", ",$E22)-1),"")</f>
        <v>BOBOK</v>
      </c>
      <c r="J21" s="639"/>
      <c r="K21" s="640" t="str">
        <f>IF($D24&gt;0,LEFT($E24,FIND(", ",$E24)-1),"")</f>
        <v>JERIČEVIĆ</v>
      </c>
      <c r="L21" s="640"/>
      <c r="M21" s="640"/>
      <c r="N21" s="638" t="str">
        <f>IF($D26&gt;0,LEFT($E26,FIND(", ",$E26)-1),"")</f>
        <v>VIDUKA</v>
      </c>
      <c r="O21" s="639"/>
      <c r="P21" s="129" t="str">
        <f>IF($D28&gt;0,LEFT($E28,FIND(", ",$E28)-1),"")</f>
        <v>MARKOTIĆ</v>
      </c>
      <c r="Q21" s="198" t="s">
        <v>119</v>
      </c>
      <c r="R21" s="199" t="s">
        <v>120</v>
      </c>
    </row>
    <row r="22" spans="1:21" ht="26.25" customHeight="1" x14ac:dyDescent="0.2">
      <c r="A22" s="195">
        <v>1</v>
      </c>
      <c r="B22" s="147">
        <f>IF($D22="","",VLOOKUP($D22,'Si Q priprema'!$A$11:$F$138,5))</f>
        <v>46</v>
      </c>
      <c r="C22" s="147" t="str">
        <f>IF($D22="","",UPPER(IF(OR(VLOOKUP($D22,'Si Q priprema'!$A$11:$F$138,6)=0,VLOOKUP($D22,'Si Q priprema'!$A$11:$F$138,6)="QA"),"",VLOOKUP($D22,'Si Q priprema'!$A$11:$F$138,6))))</f>
        <v/>
      </c>
      <c r="D22" s="194">
        <v>2</v>
      </c>
      <c r="E22" s="608" t="str">
        <f>IF($D22="","",UPPER(VLOOKUP($D22,'Si Q priprema'!$A$11:$F$138,2))&amp;", "&amp;VLOOKUP($D22,'Si Q priprema'!$A$11:$F$138,3))</f>
        <v>BOBOK, Josip</v>
      </c>
      <c r="F22" s="609"/>
      <c r="G22" s="196" t="str">
        <f>IF($D22="","",UPPER(VLOOKUP($D22,'Si Q priprema'!$A$11:$F$138,4)))</f>
        <v>IMZ</v>
      </c>
      <c r="H22" s="208"/>
      <c r="I22" s="634"/>
      <c r="J22" s="635"/>
      <c r="K22" s="632" t="s">
        <v>491</v>
      </c>
      <c r="L22" s="641"/>
      <c r="M22" s="633"/>
      <c r="N22" s="632" t="s">
        <v>509</v>
      </c>
      <c r="O22" s="633"/>
      <c r="P22" s="194" t="s">
        <v>508</v>
      </c>
      <c r="Q22" s="662" t="s">
        <v>605</v>
      </c>
      <c r="R22" s="621">
        <v>1</v>
      </c>
    </row>
    <row r="23" spans="1:21" ht="12.75" customHeight="1" x14ac:dyDescent="0.2">
      <c r="A23" s="241"/>
      <c r="B23" s="202"/>
      <c r="C23" s="202"/>
      <c r="D23" s="242"/>
      <c r="E23" s="202"/>
      <c r="F23" s="202"/>
      <c r="G23" s="202"/>
      <c r="H23" s="202"/>
      <c r="I23" s="636"/>
      <c r="J23" s="637"/>
      <c r="K23" s="623" t="s">
        <v>77</v>
      </c>
      <c r="L23" s="625"/>
      <c r="M23" s="624"/>
      <c r="N23" s="623" t="s">
        <v>77</v>
      </c>
      <c r="O23" s="624"/>
      <c r="P23" s="243" t="s">
        <v>77</v>
      </c>
      <c r="Q23" s="244"/>
      <c r="R23" s="622"/>
    </row>
    <row r="24" spans="1:21" ht="26.25" customHeight="1" x14ac:dyDescent="0.2">
      <c r="A24" s="195">
        <v>2</v>
      </c>
      <c r="B24" s="147">
        <f>IF($D24="","",VLOOKUP($D24,'Si Q priprema'!$A$11:$F$138,5))</f>
        <v>0</v>
      </c>
      <c r="C24" s="147" t="str">
        <f>IF($D24="","",UPPER(IF(OR(VLOOKUP($D24,'Si Q priprema'!$A$11:$F$138,6)=0,VLOOKUP($D24,'Si Q priprema'!$A$11:$F$138,6)="QA"),"",VLOOKUP($D24,'Si Q priprema'!$A$11:$F$138,6))))</f>
        <v>WC</v>
      </c>
      <c r="D24" s="194">
        <v>28</v>
      </c>
      <c r="E24" s="608" t="str">
        <f>IF($D24="","",UPPER(VLOOKUP($D24,'Si Q priprema'!$A$11:$F$138,2))&amp;", "&amp;VLOOKUP($D24,'Si Q priprema'!$A$11:$F$138,3))</f>
        <v>JERIČEVIĆ, Marin</v>
      </c>
      <c r="F24" s="609"/>
      <c r="G24" s="196" t="str">
        <f>IF($D24="","",UPPER(VLOOKUP($D24,'Si Q priprema'!$A$11:$F$138,4)))</f>
        <v>CHR</v>
      </c>
      <c r="H24" s="183"/>
      <c r="I24" s="610" t="str">
        <f>MID(K22,2,1)&amp;""&amp;MID(K22,1,1)&amp;" "&amp;MID(K22,5,1)&amp;""&amp;MID(K22,4,1)&amp;" "&amp;MID(K22,8,1)&amp;""&amp;MID(K22,7,1)</f>
        <v xml:space="preserve">26 46 </v>
      </c>
      <c r="J24" s="611"/>
      <c r="K24" s="626"/>
      <c r="L24" s="627"/>
      <c r="M24" s="628"/>
      <c r="N24" s="632" t="s">
        <v>526</v>
      </c>
      <c r="O24" s="633"/>
      <c r="P24" s="194" t="s">
        <v>522</v>
      </c>
      <c r="Q24" s="662" t="s">
        <v>608</v>
      </c>
      <c r="R24" s="621">
        <v>4</v>
      </c>
    </row>
    <row r="25" spans="1:21" ht="12.75" customHeight="1" x14ac:dyDescent="0.2">
      <c r="A25" s="241"/>
      <c r="B25" s="202"/>
      <c r="C25" s="202"/>
      <c r="D25" s="242"/>
      <c r="E25" s="202"/>
      <c r="F25" s="202"/>
      <c r="G25" s="202"/>
      <c r="H25" s="237"/>
      <c r="I25" s="623" t="s">
        <v>77</v>
      </c>
      <c r="J25" s="624"/>
      <c r="K25" s="629"/>
      <c r="L25" s="630"/>
      <c r="M25" s="631"/>
      <c r="N25" s="623" t="s">
        <v>77</v>
      </c>
      <c r="O25" s="624"/>
      <c r="P25" s="243" t="s">
        <v>77</v>
      </c>
      <c r="Q25" s="244"/>
      <c r="R25" s="622"/>
    </row>
    <row r="26" spans="1:21" ht="26.25" customHeight="1" x14ac:dyDescent="0.2">
      <c r="A26" s="195">
        <v>3</v>
      </c>
      <c r="B26" s="147">
        <f>IF($D26="","",VLOOKUP($D26,'Si Q priprema'!$A$11:$F$138,5))</f>
        <v>0</v>
      </c>
      <c r="C26" s="147" t="str">
        <f>IF($D26="","",UPPER(IF(OR(VLOOKUP($D26,'Si Q priprema'!$A$11:$F$138,6)=0,VLOOKUP($D26,'Si Q priprema'!$A$11:$F$138,6)="QA"),"",VLOOKUP($D26,'Si Q priprema'!$A$11:$F$138,6))))</f>
        <v/>
      </c>
      <c r="D26" s="194">
        <v>44</v>
      </c>
      <c r="E26" s="608" t="str">
        <f>IF($D26="","",UPPER(VLOOKUP($D26,'Si Q priprema'!$A$11:$F$138,2))&amp;", "&amp;VLOOKUP($D26,'Si Q priprema'!$A$11:$F$138,3))</f>
        <v>VIDUKA, Noa</v>
      </c>
      <c r="F26" s="609"/>
      <c r="G26" s="196" t="str">
        <f>IF($D26="","",UPPER(VLOOKUP($D26,'Si Q priprema'!$A$11:$F$138,4)))</f>
        <v>HRJ</v>
      </c>
      <c r="H26" s="183"/>
      <c r="I26" s="610" t="str">
        <f>MID(N22,2,1)&amp;""&amp;MID(N22,1,1)&amp;" "&amp;MID(N22,5,1)&amp;""&amp;MID(N22,4,1)&amp;" "&amp;MID(N22,8,1)&amp;""&amp;MID(N22,7,1)</f>
        <v xml:space="preserve">46 46 </v>
      </c>
      <c r="J26" s="611"/>
      <c r="K26" s="618" t="str">
        <f>MID(N24,2,1)&amp;""&amp;MID(N24,1,1)&amp;" "&amp;MID(N24,5,1)&amp;""&amp;MID(N24,4,1)&amp;" "&amp;MID(N24,8,1)&amp;""&amp;MID(N24,7,1)</f>
        <v xml:space="preserve">60 61 </v>
      </c>
      <c r="L26" s="618"/>
      <c r="M26" s="618"/>
      <c r="N26" s="634"/>
      <c r="O26" s="635"/>
      <c r="P26" s="194" t="s">
        <v>492</v>
      </c>
      <c r="Q26" s="663" t="s">
        <v>606</v>
      </c>
      <c r="R26" s="621">
        <v>2</v>
      </c>
    </row>
    <row r="27" spans="1:21" ht="12.75" customHeight="1" x14ac:dyDescent="0.2">
      <c r="A27" s="241"/>
      <c r="B27" s="202"/>
      <c r="C27" s="202"/>
      <c r="D27" s="242"/>
      <c r="E27" s="202"/>
      <c r="F27" s="202"/>
      <c r="G27" s="202"/>
      <c r="H27" s="237"/>
      <c r="I27" s="623" t="s">
        <v>77</v>
      </c>
      <c r="J27" s="624"/>
      <c r="K27" s="623" t="s">
        <v>77</v>
      </c>
      <c r="L27" s="625"/>
      <c r="M27" s="624"/>
      <c r="N27" s="636"/>
      <c r="O27" s="637"/>
      <c r="P27" s="243" t="s">
        <v>77</v>
      </c>
      <c r="Q27" s="244"/>
      <c r="R27" s="622"/>
    </row>
    <row r="28" spans="1:21" ht="26.25" customHeight="1" x14ac:dyDescent="0.2">
      <c r="A28" s="195">
        <v>4</v>
      </c>
      <c r="B28" s="147">
        <f>IF($D28="","",VLOOKUP($D28,'Si Q priprema'!$A$11:$F$138,5))</f>
        <v>0</v>
      </c>
      <c r="C28" s="147" t="str">
        <f>IF($D28="","",UPPER(IF(OR(VLOOKUP($D28,'Si Q priprema'!$A$11:$F$138,6)=0,VLOOKUP($D28,'Si Q priprema'!$A$11:$F$138,6)="QA"),"",VLOOKUP($D28,'Si Q priprema'!$A$11:$F$138,6))))</f>
        <v/>
      </c>
      <c r="D28" s="194">
        <v>33</v>
      </c>
      <c r="E28" s="608" t="str">
        <f>IF($D28="","",UPPER(VLOOKUP($D28,'Si Q priprema'!$A$11:$F$138,2))&amp;", "&amp;VLOOKUP($D28,'Si Q priprema'!$A$11:$F$138,3))</f>
        <v>MARKOTIĆ, Lovro</v>
      </c>
      <c r="F28" s="609"/>
      <c r="G28" s="196" t="str">
        <f>IF($D28="","",UPPER(VLOOKUP($D28,'Si Q priprema'!$A$11:$F$138,4)))</f>
        <v>ITE</v>
      </c>
      <c r="H28" s="183"/>
      <c r="I28" s="610" t="str">
        <f>MID(P22,2,1)&amp;""&amp;MID(P22,1,1)&amp;" "&amp;MID(P22,5,1)&amp;""&amp;MID(P22,4,1)&amp;" "&amp;MID(P22,8,1)&amp;""&amp;MID(P22,7,1)</f>
        <v xml:space="preserve">16 16 </v>
      </c>
      <c r="J28" s="611"/>
      <c r="K28" s="618" t="str">
        <f>MID(P24,2,1)&amp;""&amp;MID(P24,1,1)&amp;" "&amp;MID(P24,5,1)&amp;""&amp;MID(P24,4,1)&amp;" "&amp;MID(P24,8,1)&amp;""&amp;MID(P24,7,1)</f>
        <v xml:space="preserve">62 62 </v>
      </c>
      <c r="L28" s="618"/>
      <c r="M28" s="618"/>
      <c r="N28" s="610" t="str">
        <f>MID(P26,2,1)&amp;""&amp;MID(P26,1,1)&amp;" "&amp;MID(P26,5,1)&amp;""&amp;MID(P26,4,1)&amp;" "&amp;MID(P26,8,1)&amp;""&amp;MID(P26,7,1)</f>
        <v xml:space="preserve">36 36 </v>
      </c>
      <c r="O28" s="611"/>
      <c r="P28" s="619"/>
      <c r="Q28" s="662" t="s">
        <v>607</v>
      </c>
      <c r="R28" s="621">
        <v>3</v>
      </c>
    </row>
    <row r="29" spans="1:21" ht="12.75" customHeight="1" x14ac:dyDescent="0.2">
      <c r="A29" s="241"/>
      <c r="B29" s="202"/>
      <c r="C29" s="202"/>
      <c r="D29" s="242"/>
      <c r="E29" s="202"/>
      <c r="F29" s="202"/>
      <c r="G29" s="202"/>
      <c r="H29" s="237"/>
      <c r="I29" s="623" t="s">
        <v>77</v>
      </c>
      <c r="J29" s="624"/>
      <c r="K29" s="623" t="s">
        <v>77</v>
      </c>
      <c r="L29" s="625"/>
      <c r="M29" s="624"/>
      <c r="N29" s="623" t="s">
        <v>77</v>
      </c>
      <c r="O29" s="624"/>
      <c r="P29" s="620"/>
      <c r="Q29" s="244"/>
      <c r="R29" s="622"/>
    </row>
    <row r="30" spans="1:21" ht="12.75" customHeight="1" x14ac:dyDescent="0.2">
      <c r="A30" s="149"/>
      <c r="B30" s="149"/>
      <c r="C30" s="149"/>
      <c r="D30" s="239"/>
      <c r="E30" s="149"/>
      <c r="F30" s="149"/>
      <c r="G30" s="149"/>
      <c r="H30" s="149"/>
      <c r="I30" s="236"/>
      <c r="J30" s="236"/>
      <c r="K30" s="236"/>
      <c r="L30" s="236"/>
      <c r="M30" s="236"/>
      <c r="N30" s="236"/>
      <c r="O30" s="236"/>
      <c r="P30" s="245"/>
      <c r="Q30" s="149"/>
      <c r="R30" s="246"/>
    </row>
    <row r="31" spans="1:21" ht="12.75" customHeight="1" x14ac:dyDescent="0.2">
      <c r="D31" s="239"/>
    </row>
    <row r="32" spans="1:21" ht="26.25" customHeight="1" x14ac:dyDescent="0.2">
      <c r="A32" s="174" t="s">
        <v>103</v>
      </c>
      <c r="B32" s="190"/>
      <c r="C32" s="190"/>
      <c r="D32" s="239"/>
      <c r="E32" s="193"/>
      <c r="F32" s="193"/>
      <c r="G32" s="191"/>
      <c r="H32" s="25"/>
      <c r="I32" s="638" t="str">
        <f>IF($D33&gt;0,LEFT($E33,FIND(", ",$E33)-1),"")</f>
        <v>VOLJAVEC</v>
      </c>
      <c r="J32" s="639"/>
      <c r="K32" s="640" t="str">
        <f>IF($D35&gt;0,LEFT($E35,FIND(", ",$E35)-1),"")</f>
        <v>MARIČIĆ</v>
      </c>
      <c r="L32" s="640"/>
      <c r="M32" s="640"/>
      <c r="N32" s="638" t="str">
        <f>IF($D37&gt;0,LEFT($E37,FIND(", ",$E37)-1),"")</f>
        <v>TURČEC</v>
      </c>
      <c r="O32" s="639"/>
      <c r="P32" s="129" t="str">
        <f>IF($D39&gt;0,LEFT($E39,FIND(", ",$E39)-1),"")</f>
        <v>KOLIĆ</v>
      </c>
      <c r="Q32" s="198" t="s">
        <v>119</v>
      </c>
      <c r="R32" s="199" t="s">
        <v>120</v>
      </c>
    </row>
    <row r="33" spans="1:18" ht="26.25" customHeight="1" x14ac:dyDescent="0.2">
      <c r="A33" s="195">
        <v>1</v>
      </c>
      <c r="B33" s="147">
        <f>IF($D33="","",VLOOKUP($D33,'Si Q priprema'!$A$11:$F$138,5))</f>
        <v>49</v>
      </c>
      <c r="C33" s="147" t="str">
        <f>IF($D33="","",UPPER(IF(OR(VLOOKUP($D33,'Si Q priprema'!$A$11:$F$138,6)=0,VLOOKUP($D33,'Si Q priprema'!$A$11:$F$138,6)="QA"),"",VLOOKUP($D33,'Si Q priprema'!$A$11:$F$138,6))))</f>
        <v/>
      </c>
      <c r="D33" s="194">
        <v>3</v>
      </c>
      <c r="E33" s="608" t="str">
        <f>IF($D33="","",UPPER(VLOOKUP($D33,'Si Q priprema'!$A$11:$F$138,2))&amp;", "&amp;VLOOKUP($D33,'Si Q priprema'!$A$11:$F$138,3))</f>
        <v>VOLJAVEC, Antonio</v>
      </c>
      <c r="F33" s="609"/>
      <c r="G33" s="196" t="str">
        <f>IF($D33="","",UPPER(VLOOKUP($D33,'Si Q priprema'!$A$11:$F$138,4)))</f>
        <v>PON</v>
      </c>
      <c r="H33" s="208"/>
      <c r="I33" s="634"/>
      <c r="J33" s="635"/>
      <c r="K33" s="632" t="s">
        <v>493</v>
      </c>
      <c r="L33" s="641"/>
      <c r="M33" s="633"/>
      <c r="N33" s="632" t="s">
        <v>489</v>
      </c>
      <c r="O33" s="633"/>
      <c r="P33" s="194" t="s">
        <v>493</v>
      </c>
      <c r="Q33" s="662" t="s">
        <v>605</v>
      </c>
      <c r="R33" s="621">
        <v>1</v>
      </c>
    </row>
    <row r="34" spans="1:18" ht="12.75" customHeight="1" x14ac:dyDescent="0.2">
      <c r="A34" s="241"/>
      <c r="B34" s="202"/>
      <c r="C34" s="202"/>
      <c r="D34" s="242"/>
      <c r="E34" s="202"/>
      <c r="F34" s="202"/>
      <c r="G34" s="202"/>
      <c r="H34" s="202"/>
      <c r="I34" s="636"/>
      <c r="J34" s="637"/>
      <c r="K34" s="623" t="s">
        <v>77</v>
      </c>
      <c r="L34" s="625"/>
      <c r="M34" s="624"/>
      <c r="N34" s="623" t="s">
        <v>77</v>
      </c>
      <c r="O34" s="624"/>
      <c r="P34" s="243" t="s">
        <v>77</v>
      </c>
      <c r="Q34" s="244"/>
      <c r="R34" s="622"/>
    </row>
    <row r="35" spans="1:18" ht="26.25" customHeight="1" x14ac:dyDescent="0.2">
      <c r="A35" s="195">
        <v>2</v>
      </c>
      <c r="B35" s="147">
        <f>IF($D35="","",VLOOKUP($D35,'Si Q priprema'!$A$11:$F$138,5))</f>
        <v>0</v>
      </c>
      <c r="C35" s="147" t="str">
        <f>IF($D35="","",UPPER(IF(OR(VLOOKUP($D35,'Si Q priprema'!$A$11:$F$138,6)=0,VLOOKUP($D35,'Si Q priprema'!$A$11:$F$138,6)="QA"),"",VLOOKUP($D35,'Si Q priprema'!$A$11:$F$138,6))))</f>
        <v/>
      </c>
      <c r="D35" s="194">
        <v>31</v>
      </c>
      <c r="E35" s="608" t="str">
        <f>IF($D35="","",UPPER(VLOOKUP($D35,'Si Q priprema'!$A$11:$F$138,2))&amp;", "&amp;VLOOKUP($D35,'Si Q priprema'!$A$11:$F$138,3))</f>
        <v>MARIČIĆ, Lovro</v>
      </c>
      <c r="F35" s="609"/>
      <c r="G35" s="196" t="str">
        <f>IF($D35="","",UPPER(VLOOKUP($D35,'Si Q priprema'!$A$11:$F$138,4)))</f>
        <v>ITE</v>
      </c>
      <c r="H35" s="183"/>
      <c r="I35" s="610" t="str">
        <f>MID(K33,2,1)&amp;""&amp;MID(K33,1,1)&amp;" "&amp;MID(K33,5,1)&amp;""&amp;MID(K33,4,1)&amp;" "&amp;MID(K33,8,1)&amp;""&amp;MID(K33,7,1)</f>
        <v xml:space="preserve">06 16 </v>
      </c>
      <c r="J35" s="611"/>
      <c r="K35" s="626"/>
      <c r="L35" s="627"/>
      <c r="M35" s="628"/>
      <c r="N35" s="632" t="s">
        <v>508</v>
      </c>
      <c r="O35" s="633"/>
      <c r="P35" s="194" t="s">
        <v>519</v>
      </c>
      <c r="Q35" s="662" t="s">
        <v>606</v>
      </c>
      <c r="R35" s="621">
        <v>2</v>
      </c>
    </row>
    <row r="36" spans="1:18" ht="12.75" customHeight="1" x14ac:dyDescent="0.2">
      <c r="A36" s="241"/>
      <c r="B36" s="202"/>
      <c r="C36" s="202"/>
      <c r="D36" s="242"/>
      <c r="E36" s="202"/>
      <c r="F36" s="202"/>
      <c r="G36" s="202"/>
      <c r="H36" s="237"/>
      <c r="I36" s="623" t="s">
        <v>77</v>
      </c>
      <c r="J36" s="624"/>
      <c r="K36" s="629"/>
      <c r="L36" s="630"/>
      <c r="M36" s="631"/>
      <c r="N36" s="623" t="s">
        <v>77</v>
      </c>
      <c r="O36" s="624"/>
      <c r="P36" s="243" t="s">
        <v>77</v>
      </c>
      <c r="Q36" s="244"/>
      <c r="R36" s="622"/>
    </row>
    <row r="37" spans="1:18" ht="26.25" customHeight="1" x14ac:dyDescent="0.2">
      <c r="A37" s="195">
        <v>3</v>
      </c>
      <c r="B37" s="147">
        <f>IF($D37="","",VLOOKUP($D37,'Si Q priprema'!$A$11:$F$138,5))</f>
        <v>0</v>
      </c>
      <c r="C37" s="147" t="str">
        <f>IF($D37="","",UPPER(IF(OR(VLOOKUP($D37,'Si Q priprema'!$A$11:$F$138,6)=0,VLOOKUP($D37,'Si Q priprema'!$A$11:$F$138,6)="QA"),"",VLOOKUP($D37,'Si Q priprema'!$A$11:$F$138,6))))</f>
        <v/>
      </c>
      <c r="D37" s="194">
        <v>43</v>
      </c>
      <c r="E37" s="608" t="str">
        <f>IF($D37="","",UPPER(VLOOKUP($D37,'Si Q priprema'!$A$11:$F$138,2))&amp;", "&amp;VLOOKUP($D37,'Si Q priprema'!$A$11:$F$138,3))</f>
        <v>TURČEC, Vito</v>
      </c>
      <c r="F37" s="609"/>
      <c r="G37" s="196" t="str">
        <f>IF($D37="","",UPPER(VLOOKUP($D37,'Si Q priprema'!$A$11:$F$138,4)))</f>
        <v>ITE</v>
      </c>
      <c r="H37" s="183"/>
      <c r="I37" s="610" t="str">
        <f>MID(N33,2,1)&amp;""&amp;MID(N33,1,1)&amp;" "&amp;MID(N33,5,1)&amp;""&amp;MID(N33,4,1)&amp;" "&amp;MID(N33,8,1)&amp;""&amp;MID(N33,7,1)</f>
        <v xml:space="preserve">06 06 </v>
      </c>
      <c r="J37" s="611"/>
      <c r="K37" s="618" t="str">
        <f>MID(N35,2,1)&amp;""&amp;MID(N35,1,1)&amp;" "&amp;MID(N35,5,1)&amp;""&amp;MID(N35,4,1)&amp;" "&amp;MID(N35,8,1)&amp;""&amp;MID(N35,7,1)</f>
        <v xml:space="preserve">16 16 </v>
      </c>
      <c r="L37" s="618"/>
      <c r="M37" s="618"/>
      <c r="N37" s="634"/>
      <c r="O37" s="635"/>
      <c r="P37" s="194" t="s">
        <v>494</v>
      </c>
      <c r="Q37" s="662" t="s">
        <v>608</v>
      </c>
      <c r="R37" s="621">
        <v>4</v>
      </c>
    </row>
    <row r="38" spans="1:18" ht="12.75" customHeight="1" x14ac:dyDescent="0.2">
      <c r="A38" s="241"/>
      <c r="B38" s="202"/>
      <c r="C38" s="202"/>
      <c r="D38" s="242"/>
      <c r="E38" s="202"/>
      <c r="F38" s="202"/>
      <c r="G38" s="202"/>
      <c r="H38" s="237"/>
      <c r="I38" s="623" t="s">
        <v>77</v>
      </c>
      <c r="J38" s="624"/>
      <c r="K38" s="623" t="s">
        <v>77</v>
      </c>
      <c r="L38" s="625"/>
      <c r="M38" s="624"/>
      <c r="N38" s="636"/>
      <c r="O38" s="637"/>
      <c r="P38" s="243" t="s">
        <v>77</v>
      </c>
      <c r="Q38" s="244"/>
      <c r="R38" s="622"/>
    </row>
    <row r="39" spans="1:18" ht="26.25" customHeight="1" x14ac:dyDescent="0.2">
      <c r="A39" s="195">
        <v>4</v>
      </c>
      <c r="B39" s="147">
        <f>IF($D39="","",VLOOKUP($D39,'Si Q priprema'!$A$11:$F$138,5))</f>
        <v>75</v>
      </c>
      <c r="C39" s="147" t="str">
        <f>IF($D39="","",UPPER(IF(OR(VLOOKUP($D39,'Si Q priprema'!$A$11:$F$138,6)=0,VLOOKUP($D39,'Si Q priprema'!$A$11:$F$138,6)="QA"),"",VLOOKUP($D39,'Si Q priprema'!$A$11:$F$138,6))))</f>
        <v/>
      </c>
      <c r="D39" s="194">
        <v>12</v>
      </c>
      <c r="E39" s="608" t="str">
        <f>IF($D39="","",UPPER(VLOOKUP($D39,'Si Q priprema'!$A$11:$F$138,2))&amp;", "&amp;VLOOKUP($D39,'Si Q priprema'!$A$11:$F$138,3))</f>
        <v>KOLIĆ, Kristijan</v>
      </c>
      <c r="F39" s="609"/>
      <c r="G39" s="196" t="str">
        <f>IF($D39="","",UPPER(VLOOKUP($D39,'Si Q priprema'!$A$11:$F$138,4)))</f>
        <v>OG</v>
      </c>
      <c r="H39" s="183"/>
      <c r="I39" s="610" t="str">
        <f>MID(P33,2,1)&amp;""&amp;MID(P33,1,1)&amp;" "&amp;MID(P33,5,1)&amp;""&amp;MID(P33,4,1)&amp;" "&amp;MID(P33,8,1)&amp;""&amp;MID(P33,7,1)</f>
        <v xml:space="preserve">06 16 </v>
      </c>
      <c r="J39" s="611"/>
      <c r="K39" s="618" t="s">
        <v>520</v>
      </c>
      <c r="L39" s="618"/>
      <c r="M39" s="618"/>
      <c r="N39" s="610" t="str">
        <f>MID(P37,2,1)&amp;""&amp;MID(P37,1,1)&amp;" "&amp;MID(P37,5,1)&amp;""&amp;MID(P37,4,1)&amp;" "&amp;MID(P37,8,1)&amp;""&amp;MID(P37,7,1)</f>
        <v xml:space="preserve">61 60 </v>
      </c>
      <c r="O39" s="611"/>
      <c r="P39" s="619"/>
      <c r="Q39" s="662" t="s">
        <v>607</v>
      </c>
      <c r="R39" s="621">
        <v>3</v>
      </c>
    </row>
    <row r="40" spans="1:18" ht="12.75" customHeight="1" x14ac:dyDescent="0.2">
      <c r="A40" s="241"/>
      <c r="B40" s="202"/>
      <c r="C40" s="202"/>
      <c r="D40" s="242"/>
      <c r="E40" s="202"/>
      <c r="F40" s="202"/>
      <c r="G40" s="202"/>
      <c r="H40" s="237"/>
      <c r="I40" s="623" t="s">
        <v>77</v>
      </c>
      <c r="J40" s="624"/>
      <c r="K40" s="664" t="s">
        <v>609</v>
      </c>
      <c r="L40" s="665"/>
      <c r="M40" s="666"/>
      <c r="N40" s="623" t="s">
        <v>77</v>
      </c>
      <c r="O40" s="624"/>
      <c r="P40" s="620"/>
      <c r="Q40" s="244"/>
      <c r="R40" s="622"/>
    </row>
    <row r="41" spans="1:18" ht="12.75" customHeight="1" x14ac:dyDescent="0.2">
      <c r="A41" s="149"/>
      <c r="B41" s="149"/>
      <c r="C41" s="149"/>
      <c r="D41" s="239"/>
      <c r="E41" s="149"/>
      <c r="F41" s="149"/>
      <c r="G41" s="149"/>
      <c r="H41" s="149"/>
      <c r="I41" s="236"/>
      <c r="J41" s="236"/>
      <c r="K41" s="236"/>
      <c r="L41" s="236"/>
      <c r="M41" s="236"/>
      <c r="N41" s="236"/>
      <c r="O41" s="236"/>
      <c r="P41" s="245"/>
      <c r="Q41" s="149"/>
      <c r="R41" s="246"/>
    </row>
    <row r="42" spans="1:18" ht="12.75" customHeight="1" x14ac:dyDescent="0.2">
      <c r="D42" s="239"/>
    </row>
    <row r="43" spans="1:18" ht="26.25" customHeight="1" x14ac:dyDescent="0.2">
      <c r="A43" s="174" t="s">
        <v>104</v>
      </c>
      <c r="B43" s="190"/>
      <c r="C43" s="190"/>
      <c r="D43" s="239"/>
      <c r="E43" s="193"/>
      <c r="F43" s="193"/>
      <c r="G43" s="191"/>
      <c r="H43" s="25"/>
      <c r="I43" s="638" t="str">
        <f>IF($D44&gt;0,LEFT($E44,FIND(", ",$E44)-1),"")</f>
        <v>ŠTABEK</v>
      </c>
      <c r="J43" s="639"/>
      <c r="K43" s="640" t="str">
        <f>IF($D46&gt;0,LEFT($E46,FIND(", ",$E46)-1),"")</f>
        <v>PUPIĆ</v>
      </c>
      <c r="L43" s="640"/>
      <c r="M43" s="640"/>
      <c r="N43" s="638" t="str">
        <f>IF($D48&gt;0,LEFT($E48,FIND(", ",$E48)-1),"")</f>
        <v>MARIĆ</v>
      </c>
      <c r="O43" s="639"/>
      <c r="P43" s="129" t="str">
        <f>IF($D50&gt;0,LEFT($E50,FIND(", ",$E50)-1),"")</f>
        <v>JAMIĆ</v>
      </c>
      <c r="Q43" s="198" t="s">
        <v>119</v>
      </c>
      <c r="R43" s="199" t="s">
        <v>120</v>
      </c>
    </row>
    <row r="44" spans="1:18" ht="26.25" customHeight="1" x14ac:dyDescent="0.2">
      <c r="A44" s="195">
        <v>1</v>
      </c>
      <c r="B44" s="147">
        <f>IF($D44="","",VLOOKUP($D44,'Si Q priprema'!$A$11:$F$138,5))</f>
        <v>51</v>
      </c>
      <c r="C44" s="147" t="str">
        <f>IF($D44="","",UPPER(IF(OR(VLOOKUP($D44,'Si Q priprema'!$A$11:$F$138,6)=0,VLOOKUP($D44,'Si Q priprema'!$A$11:$F$138,6)="QA"),"",VLOOKUP($D44,'Si Q priprema'!$A$11:$F$138,6))))</f>
        <v/>
      </c>
      <c r="D44" s="194">
        <v>4</v>
      </c>
      <c r="E44" s="608" t="str">
        <f>IF($D44="","",UPPER(VLOOKUP($D44,'Si Q priprema'!$A$11:$F$138,2))&amp;", "&amp;VLOOKUP($D44,'Si Q priprema'!$A$11:$F$138,3))</f>
        <v>ŠTABEK, Domagoj</v>
      </c>
      <c r="F44" s="609"/>
      <c r="G44" s="196" t="str">
        <f>IF($D44="","",UPPER(VLOOKUP($D44,'Si Q priprema'!$A$11:$F$138,4)))</f>
        <v>TER</v>
      </c>
      <c r="H44" s="208"/>
      <c r="I44" s="634"/>
      <c r="J44" s="635"/>
      <c r="K44" s="632" t="s">
        <v>495</v>
      </c>
      <c r="L44" s="641"/>
      <c r="M44" s="633"/>
      <c r="N44" s="632" t="s">
        <v>528</v>
      </c>
      <c r="O44" s="633"/>
      <c r="P44" s="194" t="s">
        <v>521</v>
      </c>
      <c r="Q44" s="662" t="s">
        <v>606</v>
      </c>
      <c r="R44" s="621">
        <v>2</v>
      </c>
    </row>
    <row r="45" spans="1:18" ht="12.75" customHeight="1" x14ac:dyDescent="0.2">
      <c r="A45" s="241"/>
      <c r="B45" s="202"/>
      <c r="C45" s="202"/>
      <c r="D45" s="242"/>
      <c r="E45" s="202"/>
      <c r="F45" s="202"/>
      <c r="G45" s="202"/>
      <c r="H45" s="202"/>
      <c r="I45" s="636"/>
      <c r="J45" s="637"/>
      <c r="K45" s="623" t="s">
        <v>77</v>
      </c>
      <c r="L45" s="625"/>
      <c r="M45" s="624"/>
      <c r="N45" s="623" t="s">
        <v>77</v>
      </c>
      <c r="O45" s="624"/>
      <c r="P45" s="243" t="s">
        <v>77</v>
      </c>
      <c r="Q45" s="244"/>
      <c r="R45" s="622"/>
    </row>
    <row r="46" spans="1:18" ht="26.25" customHeight="1" x14ac:dyDescent="0.2">
      <c r="A46" s="195">
        <v>2</v>
      </c>
      <c r="B46" s="147">
        <f>IF($D46="","",VLOOKUP($D46,'Si Q priprema'!$A$11:$F$138,5))</f>
        <v>0</v>
      </c>
      <c r="C46" s="147" t="str">
        <f>IF($D46="","",UPPER(IF(OR(VLOOKUP($D46,'Si Q priprema'!$A$11:$F$138,6)=0,VLOOKUP($D46,'Si Q priprema'!$A$11:$F$138,6)="QA"),"",VLOOKUP($D46,'Si Q priprema'!$A$11:$F$138,6))))</f>
        <v/>
      </c>
      <c r="D46" s="194">
        <v>37</v>
      </c>
      <c r="E46" s="608" t="str">
        <f>IF($D46="","",UPPER(VLOOKUP($D46,'Si Q priprema'!$A$11:$F$138,2))&amp;", "&amp;VLOOKUP($D46,'Si Q priprema'!$A$11:$F$138,3))</f>
        <v>PUPIĆ, Martin</v>
      </c>
      <c r="F46" s="609"/>
      <c r="G46" s="196" t="str">
        <f>IF($D46="","",UPPER(VLOOKUP($D46,'Si Q priprema'!$A$11:$F$138,4)))</f>
        <v>HTK</v>
      </c>
      <c r="H46" s="183"/>
      <c r="I46" s="610" t="str">
        <f>MID(K44,2,1)&amp;""&amp;MID(K44,1,1)&amp;" "&amp;MID(K44,5,1)&amp;""&amp;MID(K44,4,1)&amp;" "&amp;MID(K44,8,1)&amp;""&amp;MID(K44,7,1)</f>
        <v xml:space="preserve">16 06 </v>
      </c>
      <c r="J46" s="611"/>
      <c r="K46" s="626"/>
      <c r="L46" s="627"/>
      <c r="M46" s="628"/>
      <c r="N46" s="632" t="s">
        <v>510</v>
      </c>
      <c r="O46" s="633"/>
      <c r="P46" s="194" t="s">
        <v>532</v>
      </c>
      <c r="Q46" s="662" t="s">
        <v>607</v>
      </c>
      <c r="R46" s="621">
        <v>3</v>
      </c>
    </row>
    <row r="47" spans="1:18" ht="12.75" customHeight="1" x14ac:dyDescent="0.2">
      <c r="A47" s="241"/>
      <c r="B47" s="202"/>
      <c r="C47" s="202"/>
      <c r="D47" s="242"/>
      <c r="E47" s="202"/>
      <c r="F47" s="202"/>
      <c r="G47" s="202"/>
      <c r="H47" s="237"/>
      <c r="I47" s="623" t="s">
        <v>77</v>
      </c>
      <c r="J47" s="624"/>
      <c r="K47" s="629"/>
      <c r="L47" s="630"/>
      <c r="M47" s="631"/>
      <c r="N47" s="623" t="s">
        <v>77</v>
      </c>
      <c r="O47" s="624"/>
      <c r="P47" s="243" t="s">
        <v>77</v>
      </c>
      <c r="Q47" s="244"/>
      <c r="R47" s="622"/>
    </row>
    <row r="48" spans="1:18" ht="26.25" customHeight="1" x14ac:dyDescent="0.2">
      <c r="A48" s="195">
        <v>3</v>
      </c>
      <c r="B48" s="147">
        <f>IF($D48="","",VLOOKUP($D48,'Si Q priprema'!$A$11:$F$138,5))</f>
        <v>0</v>
      </c>
      <c r="C48" s="147" t="str">
        <f>IF($D48="","",UPPER(IF(OR(VLOOKUP($D48,'Si Q priprema'!$A$11:$F$138,6)=0,VLOOKUP($D48,'Si Q priprema'!$A$11:$F$138,6)="QA"),"",VLOOKUP($D48,'Si Q priprema'!$A$11:$F$138,6))))</f>
        <v/>
      </c>
      <c r="D48" s="194">
        <v>32</v>
      </c>
      <c r="E48" s="608" t="str">
        <f>IF($D48="","",UPPER(VLOOKUP($D48,'Si Q priprema'!$A$11:$F$138,2))&amp;", "&amp;VLOOKUP($D48,'Si Q priprema'!$A$11:$F$138,3))</f>
        <v>MARIĆ, Hrvoje</v>
      </c>
      <c r="F48" s="609"/>
      <c r="G48" s="196" t="str">
        <f>IF($D48="","",UPPER(VLOOKUP($D48,'Si Q priprema'!$A$11:$F$138,4)))</f>
        <v>PON</v>
      </c>
      <c r="H48" s="183"/>
      <c r="I48" s="610" t="str">
        <f>MID(N44,2,1)&amp;""&amp;MID(N44,1,1)&amp;" "&amp;MID(N44,5,1)&amp;""&amp;MID(N44,4,1)&amp;" "&amp;MID(N44,8,1)&amp;""&amp;MID(N44,7,1)</f>
        <v>16 62 75</v>
      </c>
      <c r="J48" s="611"/>
      <c r="K48" s="618" t="str">
        <f>MID(N46,2,1)&amp;""&amp;MID(N46,1,1)&amp;" "&amp;MID(N46,5,1)&amp;""&amp;MID(N46,4,1)&amp;" "&amp;MID(N46,8,1)&amp;""&amp;MID(N46,7,1)</f>
        <v xml:space="preserve">60 61 </v>
      </c>
      <c r="L48" s="618"/>
      <c r="M48" s="618"/>
      <c r="N48" s="634"/>
      <c r="O48" s="635"/>
      <c r="P48" s="194" t="s">
        <v>511</v>
      </c>
      <c r="Q48" s="240" t="s">
        <v>527</v>
      </c>
      <c r="R48" s="621">
        <v>1</v>
      </c>
    </row>
    <row r="49" spans="1:21" ht="12.75" customHeight="1" x14ac:dyDescent="0.2">
      <c r="A49" s="241"/>
      <c r="B49" s="202"/>
      <c r="C49" s="202"/>
      <c r="D49" s="242"/>
      <c r="E49" s="202"/>
      <c r="F49" s="202"/>
      <c r="G49" s="202"/>
      <c r="H49" s="237"/>
      <c r="I49" s="623" t="s">
        <v>77</v>
      </c>
      <c r="J49" s="624"/>
      <c r="K49" s="623" t="s">
        <v>77</v>
      </c>
      <c r="L49" s="625"/>
      <c r="M49" s="624"/>
      <c r="N49" s="636"/>
      <c r="O49" s="637"/>
      <c r="P49" s="243" t="s">
        <v>77</v>
      </c>
      <c r="Q49" s="244"/>
      <c r="R49" s="622"/>
    </row>
    <row r="50" spans="1:21" ht="26.25" customHeight="1" x14ac:dyDescent="0.2">
      <c r="A50" s="195">
        <v>4</v>
      </c>
      <c r="B50" s="147">
        <f>IF($D50="","",VLOOKUP($D50,'Si Q priprema'!$A$11:$F$138,5))</f>
        <v>105</v>
      </c>
      <c r="C50" s="147" t="str">
        <f>IF($D50="","",UPPER(IF(OR(VLOOKUP($D50,'Si Q priprema'!$A$11:$F$138,6)=0,VLOOKUP($D50,'Si Q priprema'!$A$11:$F$138,6)="QA"),"",VLOOKUP($D50,'Si Q priprema'!$A$11:$F$138,6))))</f>
        <v/>
      </c>
      <c r="D50" s="194">
        <v>18</v>
      </c>
      <c r="E50" s="608" t="str">
        <f>IF($D50="","",UPPER(VLOOKUP($D50,'Si Q priprema'!$A$11:$F$138,2))&amp;", "&amp;VLOOKUP($D50,'Si Q priprema'!$A$11:$F$138,3))</f>
        <v>JAMIĆ, Jurica</v>
      </c>
      <c r="F50" s="609"/>
      <c r="G50" s="196" t="str">
        <f>IF($D50="","",UPPER(VLOOKUP($D50,'Si Q priprema'!$A$11:$F$138,4)))</f>
        <v>MOV</v>
      </c>
      <c r="H50" s="183"/>
      <c r="I50" s="610" t="str">
        <f>MID(P44,2,1)&amp;""&amp;MID(P44,1,1)&amp;" "&amp;MID(P44,5,1)&amp;""&amp;MID(P44,4,1)&amp;" "&amp;MID(P44,8,1)&amp;""&amp;MID(P44,7,1)</f>
        <v xml:space="preserve">36 26 </v>
      </c>
      <c r="J50" s="611"/>
      <c r="K50" s="618" t="str">
        <f>MID(P46,2,1)&amp;""&amp;MID(P46,1,1)&amp;" "&amp;MID(P46,5,1)&amp;""&amp;MID(P46,4,1)&amp;" "&amp;MID(P46,8,1)&amp;""&amp;MID(P46,7,1)</f>
        <v>46 64 46</v>
      </c>
      <c r="L50" s="618"/>
      <c r="M50" s="618"/>
      <c r="N50" s="610" t="str">
        <f>MID(P48,2,1)&amp;""&amp;MID(P48,1,1)&amp;" "&amp;MID(P48,5,1)&amp;""&amp;MID(P48,4,1)&amp;" "&amp;MID(P48,8,1)&amp;""&amp;MID(P48,7,1)</f>
        <v>64 36 64</v>
      </c>
      <c r="O50" s="611"/>
      <c r="P50" s="619"/>
      <c r="Q50" s="662" t="s">
        <v>607</v>
      </c>
      <c r="R50" s="621">
        <v>4</v>
      </c>
    </row>
    <row r="51" spans="1:21" ht="12.75" customHeight="1" x14ac:dyDescent="0.2">
      <c r="A51" s="241"/>
      <c r="B51" s="202"/>
      <c r="C51" s="202"/>
      <c r="D51" s="242"/>
      <c r="E51" s="202"/>
      <c r="F51" s="202"/>
      <c r="G51" s="202"/>
      <c r="H51" s="237"/>
      <c r="I51" s="623" t="s">
        <v>77</v>
      </c>
      <c r="J51" s="624"/>
      <c r="K51" s="623" t="s">
        <v>77</v>
      </c>
      <c r="L51" s="625"/>
      <c r="M51" s="624"/>
      <c r="N51" s="623" t="s">
        <v>77</v>
      </c>
      <c r="O51" s="624"/>
      <c r="P51" s="620"/>
      <c r="Q51" s="244"/>
      <c r="R51" s="622"/>
    </row>
    <row r="52" spans="1:21" ht="12.75" customHeight="1" x14ac:dyDescent="0.2"/>
    <row r="53" spans="1:21" ht="12.75" customHeight="1" x14ac:dyDescent="0.2">
      <c r="A53" s="30"/>
      <c r="B53" s="13"/>
      <c r="C53" s="13"/>
      <c r="D53" s="13"/>
      <c r="E53" s="13"/>
      <c r="F53" s="13"/>
      <c r="G53" s="13"/>
      <c r="H53" s="13"/>
      <c r="I53" s="13"/>
      <c r="J53" s="13"/>
      <c r="K53" s="13"/>
      <c r="L53" s="13"/>
      <c r="M53" s="13"/>
      <c r="N53" s="13"/>
      <c r="O53" s="13"/>
      <c r="P53" s="13"/>
      <c r="Q53" s="13"/>
      <c r="R53" s="37"/>
    </row>
    <row r="54" spans="1:21" ht="12" customHeight="1" x14ac:dyDescent="0.2">
      <c r="A54" s="44" t="s">
        <v>76</v>
      </c>
      <c r="B54" s="45"/>
      <c r="C54" s="46"/>
      <c r="D54" s="47" t="s">
        <v>14</v>
      </c>
      <c r="E54" s="45" t="s">
        <v>15</v>
      </c>
      <c r="F54" s="48"/>
      <c r="G54" s="48"/>
      <c r="H54" s="48"/>
      <c r="I54" s="46"/>
      <c r="J54" s="49" t="s">
        <v>14</v>
      </c>
      <c r="K54" s="172" t="s">
        <v>109</v>
      </c>
      <c r="L54" s="50"/>
      <c r="M54" s="50"/>
      <c r="N54" s="45"/>
      <c r="O54" s="44" t="s">
        <v>16</v>
      </c>
      <c r="P54" s="203"/>
      <c r="Q54" s="643" t="s">
        <v>483</v>
      </c>
      <c r="R54" s="644"/>
    </row>
    <row r="55" spans="1:21" ht="12" customHeight="1" x14ac:dyDescent="0.2">
      <c r="A55" s="51" t="s">
        <v>17</v>
      </c>
      <c r="B55" s="52"/>
      <c r="C55" s="53"/>
      <c r="D55" s="54">
        <v>1</v>
      </c>
      <c r="E55" s="169" t="str">
        <f>IF(VLOOKUP($D55,'Si Q priprema'!$A$11:$G$50,5)&gt;0,UPPER(VLOOKUP($D55,'Si Q priprema'!$A$11:$G$50,2))&amp;", "&amp;(VLOOKUP($D55,'Si Q priprema'!$A$11:$G$50,3))&amp;" ["&amp;(VLOOKUP($D55,'Si Q priprema'!$A$11:$G$50,5))&amp;"]","")</f>
        <v>NOTHIG, Karlo [44]</v>
      </c>
      <c r="F55" s="54">
        <v>9</v>
      </c>
      <c r="G55" s="616" t="str">
        <f>IF(VLOOKUP($F55,'Si Q priprema'!$A$11:$G$50,5)&gt;0,UPPER(VLOOKUP($F55,'Si Q priprema'!$A$11:$G$50,2))&amp;", "&amp;(VLOOKUP($F55,'Si Q priprema'!$A$11:$G$50,3))&amp;" ["&amp;(VLOOKUP($F55,'Si Q priprema'!$A$11:$G$50,5))&amp;"]","")</f>
        <v>HORVATIĆ, Max Ivan [67]</v>
      </c>
      <c r="H55" s="616"/>
      <c r="I55" s="617"/>
      <c r="J55" s="57">
        <v>1</v>
      </c>
      <c r="K55" s="139"/>
      <c r="L55" s="58"/>
      <c r="M55" s="58"/>
      <c r="N55" s="58"/>
      <c r="O55" s="200" t="s">
        <v>19</v>
      </c>
      <c r="Q55" s="52"/>
      <c r="R55" s="60"/>
    </row>
    <row r="56" spans="1:21" ht="12" customHeight="1" x14ac:dyDescent="0.2">
      <c r="A56" s="603" t="str">
        <f>Pocetna!$B$14</f>
        <v>01.04.2016.</v>
      </c>
      <c r="B56" s="604"/>
      <c r="C56" s="605"/>
      <c r="D56" s="54">
        <v>2</v>
      </c>
      <c r="E56" s="169" t="str">
        <f>IF(VLOOKUP($D56,'Si Q priprema'!$A$11:$G$50,5)&gt;0,UPPER(VLOOKUP($D56,'Si Q priprema'!$A$11:$G$50,2))&amp;", "&amp;(VLOOKUP($D56,'Si Q priprema'!$A$11:$G$50,3))&amp;" ["&amp;(VLOOKUP($D56,'Si Q priprema'!$A$11:$G$50,5))&amp;"]","")</f>
        <v>BOBOK, Josip [46]</v>
      </c>
      <c r="F56" s="54">
        <v>10</v>
      </c>
      <c r="G56" s="606" t="str">
        <f>IF(VLOOKUP($F56,'Si Q priprema'!$A$11:$G$50,5)&gt;0,UPPER(VLOOKUP($F56,'Si Q priprema'!$A$11:$G$50,2))&amp;", "&amp;(VLOOKUP($F56,'Si Q priprema'!$A$11:$G$50,3))&amp;" ["&amp;(VLOOKUP($F56,'Si Q priprema'!$A$11:$G$50,5))&amp;"]","")</f>
        <v>ĐEREK, Nikola [69]</v>
      </c>
      <c r="H56" s="606"/>
      <c r="I56" s="607"/>
      <c r="J56" s="57">
        <v>2</v>
      </c>
      <c r="K56" s="139"/>
      <c r="L56" s="58"/>
      <c r="M56" s="58"/>
      <c r="N56" s="58"/>
      <c r="O56" s="201" t="s">
        <v>610</v>
      </c>
      <c r="P56" s="202"/>
      <c r="Q56" s="62"/>
      <c r="R56" s="63"/>
    </row>
    <row r="57" spans="1:21" ht="12" customHeight="1" x14ac:dyDescent="0.2">
      <c r="A57" s="135" t="s">
        <v>23</v>
      </c>
      <c r="B57" s="40"/>
      <c r="C57" s="65"/>
      <c r="D57" s="54">
        <v>3</v>
      </c>
      <c r="E57" s="169" t="str">
        <f>IF(VLOOKUP($D57,'Si Q priprema'!$A$11:$G$50,5)&gt;0,UPPER(VLOOKUP($D57,'Si Q priprema'!$A$11:$G$50,2))&amp;", "&amp;(VLOOKUP($D57,'Si Q priprema'!$A$11:$G$50,3))&amp;" ["&amp;(VLOOKUP($D57,'Si Q priprema'!$A$11:$G$50,5))&amp;"]","")</f>
        <v>VOLJAVEC, Antonio [49]</v>
      </c>
      <c r="F57" s="54">
        <v>11</v>
      </c>
      <c r="G57" s="606" t="str">
        <f>IF(VLOOKUP($F57,'Si Q priprema'!$A$11:$G$50,5)&gt;0,UPPER(VLOOKUP($F57,'Si Q priprema'!$A$11:$G$50,2))&amp;", "&amp;(VLOOKUP($F57,'Si Q priprema'!$A$11:$G$50,3))&amp;" ["&amp;(VLOOKUP($F57,'Si Q priprema'!$A$11:$G$50,5))&amp;"]","")</f>
        <v>ŠANTIĆ, Leopold [72]</v>
      </c>
      <c r="H57" s="606"/>
      <c r="I57" s="607"/>
      <c r="J57" s="168"/>
      <c r="K57" s="139"/>
      <c r="L57" s="58"/>
      <c r="M57" s="58"/>
      <c r="N57" s="58"/>
      <c r="O57" s="200" t="s">
        <v>22</v>
      </c>
      <c r="Q57" s="52"/>
      <c r="R57" s="60"/>
    </row>
    <row r="58" spans="1:21" ht="12" customHeight="1" x14ac:dyDescent="0.2">
      <c r="A58" s="64" t="s">
        <v>26</v>
      </c>
      <c r="B58" s="58"/>
      <c r="C58" s="65">
        <f>$B$11</f>
        <v>44</v>
      </c>
      <c r="D58" s="54">
        <v>4</v>
      </c>
      <c r="E58" s="169" t="str">
        <f>IF(VLOOKUP($D58,'Si Q priprema'!$A$11:$G$50,5)&gt;0,UPPER(VLOOKUP($D58,'Si Q priprema'!$A$11:$G$50,2))&amp;", "&amp;(VLOOKUP($D58,'Si Q priprema'!$A$11:$G$50,3))&amp;" ["&amp;(VLOOKUP($D58,'Si Q priprema'!$A$11:$G$50,5))&amp;"]","")</f>
        <v>ŠTABEK, Domagoj [51]</v>
      </c>
      <c r="F58" s="54">
        <v>12</v>
      </c>
      <c r="G58" s="606" t="str">
        <f>IF(VLOOKUP($F58,'Si Q priprema'!$A$11:$G$50,5)&gt;0,UPPER(VLOOKUP($F58,'Si Q priprema'!$A$11:$G$50,2))&amp;", "&amp;(VLOOKUP($F58,'Si Q priprema'!$A$11:$G$50,3))&amp;" ["&amp;(VLOOKUP($F58,'Si Q priprema'!$A$11:$G$50,5))&amp;"]","")</f>
        <v>KOLIĆ, Kristijan [75]</v>
      </c>
      <c r="H58" s="606"/>
      <c r="I58" s="607"/>
      <c r="J58" s="168"/>
      <c r="K58" s="139"/>
      <c r="L58" s="58"/>
      <c r="M58" s="58"/>
      <c r="N58" s="185"/>
      <c r="O58" s="156" t="s">
        <v>487</v>
      </c>
      <c r="Q58" s="58"/>
      <c r="R58" s="56"/>
    </row>
    <row r="59" spans="1:21" ht="12" customHeight="1" x14ac:dyDescent="0.2">
      <c r="A59" s="64" t="s">
        <v>18</v>
      </c>
      <c r="B59" s="58"/>
      <c r="C59" s="143">
        <v>105</v>
      </c>
      <c r="D59" s="54">
        <v>5</v>
      </c>
      <c r="E59" s="169" t="str">
        <f>IF(VLOOKUP($D59,'Si Q priprema'!$A$11:$G$50,5)&gt;0,UPPER(VLOOKUP($D59,'Si Q priprema'!$A$11:$G$50,2))&amp;", "&amp;(VLOOKUP($D59,'Si Q priprema'!$A$11:$G$50,3))&amp;" ["&amp;(VLOOKUP($D59,'Si Q priprema'!$A$11:$G$50,5))&amp;"]","")</f>
        <v>KRSTANOVIĆ, Luka [57]</v>
      </c>
      <c r="F59" s="54">
        <v>13</v>
      </c>
      <c r="G59" s="606" t="str">
        <f>IF(VLOOKUP($F59,'Si Q priprema'!$A$11:$G$50,5)&gt;0,UPPER(VLOOKUP($F59,'Si Q priprema'!$A$11:$G$50,2))&amp;", "&amp;(VLOOKUP($F59,'Si Q priprema'!$A$11:$G$50,3))&amp;" ["&amp;(VLOOKUP($F59,'Si Q priprema'!$A$11:$G$50,5))&amp;"]","")</f>
        <v>BRADVIĆ, Marko [85]</v>
      </c>
      <c r="H59" s="606"/>
      <c r="I59" s="607"/>
      <c r="J59" s="168"/>
      <c r="K59" s="139"/>
      <c r="L59" s="58"/>
      <c r="M59" s="58"/>
      <c r="N59" s="185"/>
      <c r="O59" s="141" t="s">
        <v>488</v>
      </c>
      <c r="P59" s="202"/>
      <c r="Q59" s="62"/>
      <c r="R59" s="63"/>
    </row>
    <row r="60" spans="1:21" ht="12" customHeight="1" x14ac:dyDescent="0.2">
      <c r="A60" s="135" t="s">
        <v>24</v>
      </c>
      <c r="B60" s="58"/>
      <c r="C60" s="65"/>
      <c r="D60" s="54">
        <v>6</v>
      </c>
      <c r="E60" s="171" t="str">
        <f>IF(VLOOKUP($D60,'Si Q priprema'!$A$11:$G$50,5)&gt;0,UPPER(VLOOKUP($D60,'Si Q priprema'!$A$11:$G$50,2))&amp;", "&amp;(VLOOKUP($D60,'Si Q priprema'!$A$11:$G$50,3))&amp;" ["&amp;(VLOOKUP($D60,'Si Q priprema'!$A$11:$G$50,5))&amp;"]","")</f>
        <v>DUBOVEČAK, Filip [62]</v>
      </c>
      <c r="F60" s="188">
        <v>14</v>
      </c>
      <c r="G60" s="606" t="str">
        <f>IF(VLOOKUP($F60,'Si Q priprema'!$A$11:$G$50,5)&gt;0,UPPER(VLOOKUP($F60,'Si Q priprema'!$A$11:$G$50,2))&amp;", "&amp;(VLOOKUP($F60,'Si Q priprema'!$A$11:$G$50,3))&amp;" ["&amp;(VLOOKUP($F60,'Si Q priprema'!$A$11:$G$50,5))&amp;"]","")</f>
        <v>KARAČIĆ, Vilim [85]</v>
      </c>
      <c r="H60" s="606"/>
      <c r="I60" s="607"/>
      <c r="J60" s="66" t="s">
        <v>21</v>
      </c>
      <c r="K60" s="52"/>
      <c r="L60" s="52"/>
      <c r="M60" s="52"/>
      <c r="N60" s="67"/>
      <c r="O60" s="200" t="s">
        <v>20</v>
      </c>
      <c r="Q60" s="52"/>
      <c r="R60" s="60"/>
    </row>
    <row r="61" spans="1:21" ht="12" customHeight="1" x14ac:dyDescent="0.2">
      <c r="A61" s="64" t="s">
        <v>26</v>
      </c>
      <c r="B61" s="58"/>
      <c r="C61" s="65">
        <f>$B$11</f>
        <v>44</v>
      </c>
      <c r="D61" s="54">
        <v>7</v>
      </c>
      <c r="E61" s="171" t="str">
        <f>IF(VLOOKUP($D61,'Si Q priprema'!$A$11:$G$50,5)&gt;0,UPPER(VLOOKUP($D61,'Si Q priprema'!$A$11:$G$50,2))&amp;", "&amp;(VLOOKUP($D61,'Si Q priprema'!$A$11:$G$50,3))&amp;" ["&amp;(VLOOKUP($D61,'Si Q priprema'!$A$11:$G$50,5))&amp;"]","")</f>
        <v>MARIĆ, Vid [63]</v>
      </c>
      <c r="F61" s="188">
        <v>15</v>
      </c>
      <c r="G61" s="606" t="str">
        <f>IF(VLOOKUP($F61,'Si Q priprema'!$A$11:$G$50,5)&gt;0,UPPER(VLOOKUP($F61,'Si Q priprema'!$A$11:$G$50,2))&amp;", "&amp;(VLOOKUP($F61,'Si Q priprema'!$A$11:$G$50,3))&amp;" ["&amp;(VLOOKUP($F61,'Si Q priprema'!$A$11:$G$50,5))&amp;"]","")</f>
        <v>CEREZIN, Vito [94]</v>
      </c>
      <c r="H61" s="606"/>
      <c r="I61" s="607"/>
      <c r="J61" s="68" t="str">
        <f>Pocetna!$F$14</f>
        <v xml:space="preserve">Boris Lumpert </v>
      </c>
      <c r="K61" s="58"/>
      <c r="L61" s="58"/>
      <c r="M61" s="58"/>
      <c r="N61" s="58"/>
      <c r="O61" s="64"/>
      <c r="Q61" s="58"/>
      <c r="R61" s="56"/>
    </row>
    <row r="62" spans="1:21" ht="12" customHeight="1" thickBot="1" x14ac:dyDescent="0.25">
      <c r="A62" s="61" t="s">
        <v>18</v>
      </c>
      <c r="B62" s="62"/>
      <c r="C62" s="144" t="s">
        <v>484</v>
      </c>
      <c r="D62" s="527">
        <v>8</v>
      </c>
      <c r="E62" s="170" t="str">
        <f>IF(VLOOKUP($D62,'Si Q priprema'!$A$11:$G$50,5)&gt;0,UPPER(VLOOKUP($D62,'Si Q priprema'!$A$11:$G$50,2))&amp;", "&amp;(VLOOKUP($D62,'Si Q priprema'!$A$11:$G$50,3))&amp;" ["&amp;(VLOOKUP($D62,'Si Q priprema'!$A$11:$G$50,5))&amp;"]","")</f>
        <v>KRŽIĆ, Tin [66]</v>
      </c>
      <c r="F62" s="69">
        <v>16</v>
      </c>
      <c r="G62" s="612" t="str">
        <f>IF(VLOOKUP($F62,'Si Q priprema'!$A$11:$G$50,5)&gt;0,UPPER(VLOOKUP($F62,'Si Q priprema'!$A$11:$G$50,2))&amp;", "&amp;(VLOOKUP($F62,'Si Q priprema'!$A$11:$G$50,3))&amp;" ["&amp;(VLOOKUP($F62,'Si Q priprema'!$A$11:$G$50,5))&amp;"]","")</f>
        <v>POPOVIĆ, Mario [99]</v>
      </c>
      <c r="H62" s="612"/>
      <c r="I62" s="613"/>
      <c r="J62" s="71">
        <f>Pocetna!$F$15</f>
        <v>0</v>
      </c>
      <c r="K62" s="62"/>
      <c r="L62" s="62"/>
      <c r="M62" s="62"/>
      <c r="N62" s="62"/>
      <c r="O62" s="61" t="str">
        <f>Pocetna!$F$12</f>
        <v>Mladen Šančić</v>
      </c>
      <c r="P62" s="202"/>
      <c r="Q62" s="62"/>
      <c r="R62" s="63"/>
    </row>
    <row r="63" spans="1:21" ht="26.25" customHeight="1" x14ac:dyDescent="0.2">
      <c r="A63" s="20"/>
      <c r="B63" s="163" t="s">
        <v>6</v>
      </c>
      <c r="C63" s="163" t="s">
        <v>7</v>
      </c>
      <c r="D63" s="526" t="s">
        <v>8</v>
      </c>
      <c r="E63" s="642" t="s">
        <v>9</v>
      </c>
      <c r="F63" s="642"/>
      <c r="G63" s="163" t="s">
        <v>1</v>
      </c>
      <c r="H63" s="163"/>
      <c r="I63" s="642" t="s">
        <v>115</v>
      </c>
      <c r="J63" s="642"/>
      <c r="K63" s="642" t="s">
        <v>116</v>
      </c>
      <c r="L63" s="642"/>
      <c r="M63" s="642"/>
      <c r="N63" s="642" t="s">
        <v>117</v>
      </c>
      <c r="O63" s="642"/>
      <c r="P63" s="163" t="s">
        <v>118</v>
      </c>
      <c r="Q63" s="197" t="s">
        <v>119</v>
      </c>
      <c r="R63" s="163" t="s">
        <v>120</v>
      </c>
      <c r="U63" s="192"/>
    </row>
    <row r="64" spans="1:21" ht="12.75" customHeight="1" x14ac:dyDescent="0.2">
      <c r="A64" s="189"/>
      <c r="B64" s="165"/>
      <c r="C64" s="165"/>
      <c r="D64" s="205"/>
      <c r="E64" s="165"/>
      <c r="F64" s="165"/>
      <c r="G64" s="165"/>
      <c r="H64" s="165"/>
      <c r="I64" s="165"/>
      <c r="J64" s="165"/>
      <c r="K64" s="165"/>
      <c r="L64" s="165"/>
      <c r="M64" s="165"/>
      <c r="N64" s="165"/>
      <c r="O64" s="165"/>
      <c r="P64" s="165"/>
      <c r="Q64" s="204"/>
      <c r="R64" s="165"/>
      <c r="U64" s="192"/>
    </row>
    <row r="65" spans="1:21" ht="12.75" customHeight="1" x14ac:dyDescent="0.2">
      <c r="A65" s="189"/>
      <c r="B65" s="165"/>
      <c r="C65" s="165"/>
      <c r="D65" s="206"/>
      <c r="E65" s="165"/>
      <c r="F65" s="165"/>
      <c r="G65" s="165"/>
      <c r="H65" s="165"/>
      <c r="I65" s="165"/>
      <c r="J65" s="165"/>
      <c r="K65" s="165"/>
      <c r="L65" s="165"/>
      <c r="M65" s="165"/>
      <c r="N65" s="165"/>
      <c r="O65" s="165"/>
      <c r="P65" s="165"/>
      <c r="Q65" s="204"/>
      <c r="R65" s="165"/>
      <c r="U65" s="192"/>
    </row>
    <row r="66" spans="1:21" ht="12.75" customHeight="1" x14ac:dyDescent="0.2">
      <c r="A66" s="13"/>
      <c r="B66" s="13"/>
      <c r="C66" s="13"/>
      <c r="D66" s="207"/>
      <c r="E66" s="13"/>
      <c r="F66" s="13"/>
      <c r="G66" s="13"/>
      <c r="H66" s="13"/>
      <c r="I66" s="13"/>
      <c r="J66" s="13"/>
      <c r="K66" s="13"/>
      <c r="L66" s="13"/>
      <c r="M66" s="13"/>
      <c r="N66" s="13"/>
      <c r="O66" s="13"/>
      <c r="P66" s="13"/>
      <c r="Q66" s="13"/>
      <c r="R66" s="175"/>
      <c r="U66" s="192"/>
    </row>
    <row r="67" spans="1:21" ht="26.25" customHeight="1" x14ac:dyDescent="0.2">
      <c r="A67" s="174" t="s">
        <v>105</v>
      </c>
      <c r="B67" s="190"/>
      <c r="C67" s="190"/>
      <c r="D67" s="239"/>
      <c r="E67" s="193"/>
      <c r="F67" s="193"/>
      <c r="G67" s="191"/>
      <c r="H67" s="25"/>
      <c r="I67" s="638" t="str">
        <f>IF($D68&gt;0,LEFT($E68,FIND(", ",$E68)-1),"")</f>
        <v>KRSTANOVIĆ</v>
      </c>
      <c r="J67" s="639"/>
      <c r="K67" s="640" t="str">
        <f>IF($D70&gt;0,LEFT($E70,FIND(", ",$E70)-1),"")</f>
        <v>BAŠIĆ</v>
      </c>
      <c r="L67" s="640"/>
      <c r="M67" s="640"/>
      <c r="N67" s="638" t="str">
        <f>IF($D72&gt;0,LEFT($E72,FIND(", ",$E72)-1),"")</f>
        <v>BENČEC</v>
      </c>
      <c r="O67" s="639"/>
      <c r="P67" s="129" t="str">
        <f>IF($D74&gt;0,LEFT($E74,FIND(", ",$E74)-1),"")</f>
        <v>JURLINA</v>
      </c>
      <c r="Q67" s="198" t="s">
        <v>119</v>
      </c>
      <c r="R67" s="199" t="s">
        <v>120</v>
      </c>
      <c r="U67" s="192"/>
    </row>
    <row r="68" spans="1:21" ht="26.25" customHeight="1" x14ac:dyDescent="0.2">
      <c r="A68" s="195">
        <v>1</v>
      </c>
      <c r="B68" s="147">
        <f>IF($D68="","",VLOOKUP($D68,'Si Q priprema'!$A$11:$F$138,5))</f>
        <v>57</v>
      </c>
      <c r="C68" s="147" t="str">
        <f>IF($D68="","",UPPER(IF(OR(VLOOKUP($D68,'Si Q priprema'!$A$11:$F$138,6)=0,VLOOKUP($D68,'Si Q priprema'!$A$11:$F$138,6)="QA"),"",VLOOKUP($D68,'Si Q priprema'!$A$11:$F$138,6))))</f>
        <v/>
      </c>
      <c r="D68" s="194">
        <v>5</v>
      </c>
      <c r="E68" s="608" t="str">
        <f>IF($D68="","",UPPER(VLOOKUP($D68,'Si Q priprema'!$A$11:$F$138,2))&amp;", "&amp;VLOOKUP($D68,'Si Q priprema'!$A$11:$F$138,3))</f>
        <v>KRSTANOVIĆ, Luka</v>
      </c>
      <c r="F68" s="609"/>
      <c r="G68" s="196" t="str">
        <f>IF($D68="","",UPPER(VLOOKUP($D68,'Si Q priprema'!$A$11:$F$138,4)))</f>
        <v>PON</v>
      </c>
      <c r="H68" s="208"/>
      <c r="I68" s="634"/>
      <c r="J68" s="635"/>
      <c r="K68" s="632" t="s">
        <v>489</v>
      </c>
      <c r="L68" s="641"/>
      <c r="M68" s="633"/>
      <c r="N68" s="632" t="s">
        <v>512</v>
      </c>
      <c r="O68" s="633"/>
      <c r="P68" s="194" t="s">
        <v>496</v>
      </c>
      <c r="Q68" s="662" t="s">
        <v>605</v>
      </c>
      <c r="R68" s="621">
        <v>1</v>
      </c>
      <c r="U68" s="192"/>
    </row>
    <row r="69" spans="1:21" ht="12.75" customHeight="1" x14ac:dyDescent="0.2">
      <c r="A69" s="241"/>
      <c r="B69" s="202"/>
      <c r="C69" s="202"/>
      <c r="D69" s="242"/>
      <c r="E69" s="202"/>
      <c r="F69" s="202"/>
      <c r="G69" s="202"/>
      <c r="H69" s="202"/>
      <c r="I69" s="636"/>
      <c r="J69" s="637"/>
      <c r="K69" s="623" t="s">
        <v>77</v>
      </c>
      <c r="L69" s="625"/>
      <c r="M69" s="624"/>
      <c r="N69" s="623" t="s">
        <v>77</v>
      </c>
      <c r="O69" s="624"/>
      <c r="P69" s="243" t="s">
        <v>77</v>
      </c>
      <c r="Q69" s="244"/>
      <c r="R69" s="622"/>
      <c r="U69" s="192"/>
    </row>
    <row r="70" spans="1:21" ht="26.25" customHeight="1" x14ac:dyDescent="0.2">
      <c r="A70" s="195">
        <v>2</v>
      </c>
      <c r="B70" s="147">
        <f>IF($D70="","",VLOOKUP($D70,'Si Q priprema'!$A$11:$F$138,5))</f>
        <v>0</v>
      </c>
      <c r="C70" s="147" t="str">
        <f>IF($D70="","",UPPER(IF(OR(VLOOKUP($D70,'Si Q priprema'!$A$11:$F$138,6)=0,VLOOKUP($D70,'Si Q priprema'!$A$11:$F$138,6)="QA"),"",VLOOKUP($D70,'Si Q priprema'!$A$11:$F$138,6))))</f>
        <v/>
      </c>
      <c r="D70" s="194">
        <v>22</v>
      </c>
      <c r="E70" s="608" t="str">
        <f>IF($D70="","",UPPER(VLOOKUP($D70,'Si Q priprema'!$A$11:$F$138,2))&amp;", "&amp;VLOOKUP($D70,'Si Q priprema'!$A$11:$F$138,3))</f>
        <v>BAŠIĆ, Luka</v>
      </c>
      <c r="F70" s="609"/>
      <c r="G70" s="196" t="str">
        <f>IF($D70="","",UPPER(VLOOKUP($D70,'Si Q priprema'!$A$11:$F$138,4)))</f>
        <v>RAL</v>
      </c>
      <c r="H70" s="183"/>
      <c r="I70" s="610" t="str">
        <f>MID(K68,2,1)&amp;""&amp;MID(K68,1,1)&amp;" "&amp;MID(K68,5,1)&amp;""&amp;MID(K68,4,1)&amp;" "&amp;MID(K68,8,1)&amp;""&amp;MID(K68,7,1)</f>
        <v xml:space="preserve">06 06 </v>
      </c>
      <c r="J70" s="611"/>
      <c r="K70" s="626"/>
      <c r="L70" s="627"/>
      <c r="M70" s="628"/>
      <c r="N70" s="632" t="s">
        <v>530</v>
      </c>
      <c r="O70" s="633"/>
      <c r="P70" s="194" t="s">
        <v>513</v>
      </c>
      <c r="Q70" s="662" t="s">
        <v>608</v>
      </c>
      <c r="R70" s="621">
        <v>4</v>
      </c>
      <c r="U70" s="192"/>
    </row>
    <row r="71" spans="1:21" ht="12.75" customHeight="1" x14ac:dyDescent="0.2">
      <c r="A71" s="241"/>
      <c r="B71" s="202"/>
      <c r="C71" s="202"/>
      <c r="D71" s="242"/>
      <c r="E71" s="202"/>
      <c r="F71" s="202"/>
      <c r="G71" s="202"/>
      <c r="H71" s="237"/>
      <c r="I71" s="623" t="s">
        <v>77</v>
      </c>
      <c r="J71" s="624"/>
      <c r="K71" s="629"/>
      <c r="L71" s="630"/>
      <c r="M71" s="631"/>
      <c r="N71" s="623" t="s">
        <v>77</v>
      </c>
      <c r="O71" s="624"/>
      <c r="P71" s="243" t="s">
        <v>77</v>
      </c>
      <c r="Q71" s="244"/>
      <c r="R71" s="622"/>
      <c r="U71" s="192"/>
    </row>
    <row r="72" spans="1:21" ht="26.25" customHeight="1" x14ac:dyDescent="0.2">
      <c r="A72" s="195">
        <v>3</v>
      </c>
      <c r="B72" s="147">
        <f>IF($D72="","",VLOOKUP($D72,'Si Q priprema'!$A$11:$F$138,5))</f>
        <v>0</v>
      </c>
      <c r="C72" s="147" t="str">
        <f>IF($D72="","",UPPER(IF(OR(VLOOKUP($D72,'Si Q priprema'!$A$11:$F$138,6)=0,VLOOKUP($D72,'Si Q priprema'!$A$11:$F$138,6)="QA"),"",VLOOKUP($D72,'Si Q priprema'!$A$11:$F$138,6))))</f>
        <v/>
      </c>
      <c r="D72" s="194">
        <v>23</v>
      </c>
      <c r="E72" s="608" t="str">
        <f>IF($D72="","",UPPER(VLOOKUP($D72,'Si Q priprema'!$A$11:$F$138,2))&amp;", "&amp;VLOOKUP($D72,'Si Q priprema'!$A$11:$F$138,3))</f>
        <v>BENČEC, Benjamin</v>
      </c>
      <c r="F72" s="609"/>
      <c r="G72" s="196" t="str">
        <f>IF($D72="","",UPPER(VLOOKUP($D72,'Si Q priprema'!$A$11:$F$138,4)))</f>
        <v>TTC</v>
      </c>
      <c r="H72" s="183"/>
      <c r="I72" s="610" t="str">
        <f>MID(N68,2,1)&amp;""&amp;MID(N68,1,1)&amp;" "&amp;MID(N68,5,1)&amp;""&amp;MID(N68,4,1)&amp;" "&amp;MID(N68,8,1)&amp;""&amp;MID(N68,7,1)</f>
        <v xml:space="preserve">16 36 </v>
      </c>
      <c r="J72" s="611"/>
      <c r="K72" s="618" t="str">
        <f>MID(N70,2,1)&amp;""&amp;MID(N70,1,1)&amp;" "&amp;MID(N70,5,1)&amp;""&amp;MID(N70,4,1)&amp;" "&amp;MID(N70,8,1)&amp;""&amp;MID(N70,7,1)</f>
        <v xml:space="preserve">62 61 </v>
      </c>
      <c r="L72" s="618"/>
      <c r="M72" s="618"/>
      <c r="N72" s="634"/>
      <c r="O72" s="635"/>
      <c r="P72" s="194" t="s">
        <v>497</v>
      </c>
      <c r="Q72" s="662" t="s">
        <v>606</v>
      </c>
      <c r="R72" s="621">
        <v>2</v>
      </c>
      <c r="U72" s="192"/>
    </row>
    <row r="73" spans="1:21" ht="12.75" customHeight="1" x14ac:dyDescent="0.2">
      <c r="A73" s="241"/>
      <c r="B73" s="202"/>
      <c r="C73" s="202"/>
      <c r="D73" s="242"/>
      <c r="E73" s="202"/>
      <c r="F73" s="202"/>
      <c r="G73" s="202"/>
      <c r="H73" s="237"/>
      <c r="I73" s="623" t="s">
        <v>77</v>
      </c>
      <c r="J73" s="624"/>
      <c r="K73" s="623" t="s">
        <v>77</v>
      </c>
      <c r="L73" s="625"/>
      <c r="M73" s="624"/>
      <c r="N73" s="636"/>
      <c r="O73" s="637"/>
      <c r="P73" s="243" t="s">
        <v>77</v>
      </c>
      <c r="Q73" s="244"/>
      <c r="R73" s="622"/>
      <c r="U73" s="192"/>
    </row>
    <row r="74" spans="1:21" ht="26.25" customHeight="1" x14ac:dyDescent="0.2">
      <c r="A74" s="195">
        <v>4</v>
      </c>
      <c r="B74" s="147">
        <f>IF($D74="","",VLOOKUP($D74,'Si Q priprema'!$A$11:$F$138,5))</f>
        <v>105</v>
      </c>
      <c r="C74" s="147" t="str">
        <f>IF($D74="","",UPPER(IF(OR(VLOOKUP($D74,'Si Q priprema'!$A$11:$F$138,6)=0,VLOOKUP($D74,'Si Q priprema'!$A$11:$F$138,6)="QA"),"",VLOOKUP($D74,'Si Q priprema'!$A$11:$F$138,6))))</f>
        <v/>
      </c>
      <c r="D74" s="194">
        <v>19</v>
      </c>
      <c r="E74" s="608" t="str">
        <f>IF($D74="","",UPPER(VLOOKUP($D74,'Si Q priprema'!$A$11:$F$138,2))&amp;", "&amp;VLOOKUP($D74,'Si Q priprema'!$A$11:$F$138,3))</f>
        <v>JURLINA, Luka</v>
      </c>
      <c r="F74" s="609"/>
      <c r="G74" s="196" t="str">
        <f>IF($D74="","",UPPER(VLOOKUP($D74,'Si Q priprema'!$A$11:$F$138,4)))</f>
        <v>ITE</v>
      </c>
      <c r="H74" s="183"/>
      <c r="I74" s="610" t="str">
        <f>MID(P68,2,1)&amp;""&amp;MID(P68,1,1)&amp;" "&amp;MID(P68,5,1)&amp;""&amp;MID(P68,4,1)&amp;" "&amp;MID(P68,8,1)&amp;""&amp;MID(P68,7,1)</f>
        <v xml:space="preserve">36 16 </v>
      </c>
      <c r="J74" s="611"/>
      <c r="K74" s="618" t="str">
        <f>MID(P70,2,1)&amp;""&amp;MID(P70,1,1)&amp;" "&amp;MID(P70,5,1)&amp;""&amp;MID(P70,4,1)&amp;" "&amp;MID(P70,8,1)&amp;""&amp;MID(P70,7,1)</f>
        <v xml:space="preserve">61 61 </v>
      </c>
      <c r="L74" s="618"/>
      <c r="M74" s="618"/>
      <c r="N74" s="610" t="s">
        <v>498</v>
      </c>
      <c r="O74" s="611"/>
      <c r="P74" s="619"/>
      <c r="Q74" s="662" t="s">
        <v>607</v>
      </c>
      <c r="R74" s="621">
        <v>3</v>
      </c>
      <c r="S74" s="193"/>
      <c r="U74" s="192"/>
    </row>
    <row r="75" spans="1:21" ht="12.75" customHeight="1" x14ac:dyDescent="0.2">
      <c r="A75" s="241"/>
      <c r="B75" s="202"/>
      <c r="C75" s="202"/>
      <c r="D75" s="242"/>
      <c r="E75" s="202"/>
      <c r="F75" s="202"/>
      <c r="G75" s="202"/>
      <c r="H75" s="237"/>
      <c r="I75" s="623" t="s">
        <v>77</v>
      </c>
      <c r="J75" s="624"/>
      <c r="K75" s="623" t="s">
        <v>77</v>
      </c>
      <c r="L75" s="625"/>
      <c r="M75" s="624"/>
      <c r="N75" s="623" t="s">
        <v>77</v>
      </c>
      <c r="O75" s="624"/>
      <c r="P75" s="620"/>
      <c r="Q75" s="244"/>
      <c r="R75" s="622"/>
      <c r="U75" s="149"/>
    </row>
    <row r="76" spans="1:21" ht="12.75" customHeight="1" x14ac:dyDescent="0.2">
      <c r="A76" s="149"/>
      <c r="B76" s="149"/>
      <c r="C76" s="149"/>
      <c r="D76" s="239"/>
      <c r="E76" s="149"/>
      <c r="F76" s="149"/>
      <c r="G76" s="149"/>
      <c r="H76" s="149"/>
      <c r="I76" s="236"/>
      <c r="J76" s="236"/>
      <c r="K76" s="236"/>
      <c r="L76" s="236"/>
      <c r="M76" s="236"/>
      <c r="N76" s="236"/>
      <c r="O76" s="236"/>
      <c r="P76" s="245"/>
      <c r="Q76" s="149"/>
      <c r="R76" s="246"/>
      <c r="U76" s="149"/>
    </row>
    <row r="77" spans="1:21" ht="12.75" customHeight="1" x14ac:dyDescent="0.2">
      <c r="D77" s="239"/>
      <c r="U77" s="149"/>
    </row>
    <row r="78" spans="1:21" ht="26.25" customHeight="1" x14ac:dyDescent="0.2">
      <c r="A78" s="174" t="s">
        <v>106</v>
      </c>
      <c r="B78" s="190"/>
      <c r="C78" s="190"/>
      <c r="D78" s="239"/>
      <c r="E78" s="193"/>
      <c r="F78" s="193"/>
      <c r="G78" s="191"/>
      <c r="H78" s="25"/>
      <c r="I78" s="638" t="str">
        <f>IF($D79&gt;0,LEFT($E79,FIND(", ",$E79)-1),"")</f>
        <v>DUBOVEČAK</v>
      </c>
      <c r="J78" s="639"/>
      <c r="K78" s="640" t="str">
        <f>IF($D81&gt;0,LEFT($E81,FIND(", ",$E81)-1),"")</f>
        <v>SEVEROVIĆ</v>
      </c>
      <c r="L78" s="640"/>
      <c r="M78" s="640"/>
      <c r="N78" s="638" t="str">
        <f>IF($D83&gt;0,LEFT($E83,FIND(", ",$E83)-1),"")</f>
        <v>SCHNEIDER</v>
      </c>
      <c r="O78" s="639"/>
      <c r="P78" s="129" t="str">
        <f>IF($D85&gt;0,LEFT($E85,FIND(", ",$E85)-1),"")</f>
        <v>CEREZIN</v>
      </c>
      <c r="Q78" s="198" t="s">
        <v>119</v>
      </c>
      <c r="R78" s="199" t="s">
        <v>120</v>
      </c>
      <c r="U78" s="149"/>
    </row>
    <row r="79" spans="1:21" ht="26.25" customHeight="1" x14ac:dyDescent="0.2">
      <c r="A79" s="195">
        <v>1</v>
      </c>
      <c r="B79" s="147">
        <f>IF($D79="","",VLOOKUP($D79,'Si Q priprema'!$A$11:$F$138,5))</f>
        <v>62</v>
      </c>
      <c r="C79" s="147" t="str">
        <f>IF($D79="","",UPPER(IF(OR(VLOOKUP($D79,'Si Q priprema'!$A$11:$F$138,6)=0,VLOOKUP($D79,'Si Q priprema'!$A$11:$F$138,6)="QA"),"",VLOOKUP($D79,'Si Q priprema'!$A$11:$F$138,6))))</f>
        <v/>
      </c>
      <c r="D79" s="194">
        <v>6</v>
      </c>
      <c r="E79" s="608" t="str">
        <f>IF($D79="","",UPPER(VLOOKUP($D79,'Si Q priprema'!$A$11:$F$138,2))&amp;", "&amp;VLOOKUP($D79,'Si Q priprema'!$A$11:$F$138,3))</f>
        <v>DUBOVEČAK, Filip</v>
      </c>
      <c r="F79" s="609"/>
      <c r="G79" s="196" t="str">
        <f>IF($D79="","",UPPER(VLOOKUP($D79,'Si Q priprema'!$A$11:$F$138,4)))</f>
        <v>ITE</v>
      </c>
      <c r="H79" s="208"/>
      <c r="I79" s="634"/>
      <c r="J79" s="635"/>
      <c r="K79" s="632" t="s">
        <v>496</v>
      </c>
      <c r="L79" s="641"/>
      <c r="M79" s="633"/>
      <c r="N79" s="632" t="s">
        <v>512</v>
      </c>
      <c r="O79" s="633"/>
      <c r="P79" s="194" t="s">
        <v>531</v>
      </c>
      <c r="Q79" s="662" t="s">
        <v>605</v>
      </c>
      <c r="R79" s="621">
        <v>1</v>
      </c>
    </row>
    <row r="80" spans="1:21" ht="12.75" customHeight="1" x14ac:dyDescent="0.2">
      <c r="A80" s="241"/>
      <c r="B80" s="202"/>
      <c r="C80" s="202"/>
      <c r="D80" s="242"/>
      <c r="E80" s="202"/>
      <c r="F80" s="202"/>
      <c r="G80" s="202"/>
      <c r="H80" s="202"/>
      <c r="I80" s="636"/>
      <c r="J80" s="637"/>
      <c r="K80" s="623" t="s">
        <v>77</v>
      </c>
      <c r="L80" s="625"/>
      <c r="M80" s="624"/>
      <c r="N80" s="623" t="s">
        <v>77</v>
      </c>
      <c r="O80" s="624"/>
      <c r="P80" s="243" t="s">
        <v>77</v>
      </c>
      <c r="Q80" s="244"/>
      <c r="R80" s="622"/>
    </row>
    <row r="81" spans="1:18" ht="26.25" customHeight="1" x14ac:dyDescent="0.2">
      <c r="A81" s="195">
        <v>2</v>
      </c>
      <c r="B81" s="147">
        <f>IF($D81="","",VLOOKUP($D81,'Si Q priprema'!$A$11:$F$138,5))</f>
        <v>0</v>
      </c>
      <c r="C81" s="147" t="str">
        <f>IF($D81="","",UPPER(IF(OR(VLOOKUP($D81,'Si Q priprema'!$A$11:$F$138,6)=0,VLOOKUP($D81,'Si Q priprema'!$A$11:$F$138,6)="QA"),"",VLOOKUP($D81,'Si Q priprema'!$A$11:$F$138,6))))</f>
        <v>WC</v>
      </c>
      <c r="D81" s="194">
        <v>40</v>
      </c>
      <c r="E81" s="608" t="str">
        <f>IF($D81="","",UPPER(VLOOKUP($D81,'Si Q priprema'!$A$11:$F$138,2))&amp;", "&amp;VLOOKUP($D81,'Si Q priprema'!$A$11:$F$138,3))</f>
        <v>SEVEROVIĆ, Patrik</v>
      </c>
      <c r="F81" s="609"/>
      <c r="G81" s="196" t="str">
        <f>IF($D81="","",UPPER(VLOOKUP($D81,'Si Q priprema'!$A$11:$F$138,4)))</f>
        <v>SAM</v>
      </c>
      <c r="H81" s="183"/>
      <c r="I81" s="610" t="str">
        <f>MID(K79,2,1)&amp;""&amp;MID(K79,1,1)&amp;" "&amp;MID(K79,5,1)&amp;""&amp;MID(K79,4,1)&amp;" "&amp;MID(K79,8,1)&amp;""&amp;MID(K79,7,1)</f>
        <v xml:space="preserve">36 16 </v>
      </c>
      <c r="J81" s="611"/>
      <c r="K81" s="626"/>
      <c r="L81" s="627"/>
      <c r="M81" s="628"/>
      <c r="N81" s="632" t="s">
        <v>502</v>
      </c>
      <c r="O81" s="633"/>
      <c r="P81" s="194" t="s">
        <v>514</v>
      </c>
      <c r="Q81" s="662" t="s">
        <v>608</v>
      </c>
      <c r="R81" s="621">
        <v>4</v>
      </c>
    </row>
    <row r="82" spans="1:18" ht="12.75" customHeight="1" x14ac:dyDescent="0.2">
      <c r="A82" s="241"/>
      <c r="B82" s="202"/>
      <c r="C82" s="202"/>
      <c r="D82" s="242"/>
      <c r="E82" s="202"/>
      <c r="F82" s="202"/>
      <c r="G82" s="202"/>
      <c r="H82" s="237"/>
      <c r="I82" s="623" t="s">
        <v>77</v>
      </c>
      <c r="J82" s="624"/>
      <c r="K82" s="629"/>
      <c r="L82" s="630"/>
      <c r="M82" s="631"/>
      <c r="N82" s="623" t="s">
        <v>77</v>
      </c>
      <c r="O82" s="624"/>
      <c r="P82" s="243" t="s">
        <v>77</v>
      </c>
      <c r="Q82" s="244"/>
      <c r="R82" s="622"/>
    </row>
    <row r="83" spans="1:18" ht="26.25" customHeight="1" x14ac:dyDescent="0.2">
      <c r="A83" s="195">
        <v>3</v>
      </c>
      <c r="B83" s="147">
        <f>IF($D83="","",VLOOKUP($D83,'Si Q priprema'!$A$11:$F$138,5))</f>
        <v>0</v>
      </c>
      <c r="C83" s="147" t="str">
        <f>IF($D83="","",UPPER(IF(OR(VLOOKUP($D83,'Si Q priprema'!$A$11:$F$138,6)=0,VLOOKUP($D83,'Si Q priprema'!$A$11:$F$138,6)="QA"),"",VLOOKUP($D83,'Si Q priprema'!$A$11:$F$138,6))))</f>
        <v/>
      </c>
      <c r="D83" s="194">
        <v>39</v>
      </c>
      <c r="E83" s="608" t="str">
        <f>IF($D83="","",UPPER(VLOOKUP($D83,'Si Q priprema'!$A$11:$F$138,2))&amp;", "&amp;VLOOKUP($D83,'Si Q priprema'!$A$11:$F$138,3))</f>
        <v>SCHNEIDER, Mihael</v>
      </c>
      <c r="F83" s="609"/>
      <c r="G83" s="196" t="str">
        <f>IF($D83="","",UPPER(VLOOKUP($D83,'Si Q priprema'!$A$11:$F$138,4)))</f>
        <v>HTK</v>
      </c>
      <c r="H83" s="183"/>
      <c r="I83" s="610" t="str">
        <f>MID(N79,2,1)&amp;""&amp;MID(N79,1,1)&amp;" "&amp;MID(N79,5,1)&amp;""&amp;MID(N79,4,1)&amp;" "&amp;MID(N79,8,1)&amp;""&amp;MID(N79,7,1)</f>
        <v xml:space="preserve">16 36 </v>
      </c>
      <c r="J83" s="611"/>
      <c r="K83" s="618" t="str">
        <f>MID(N81,2,1)&amp;""&amp;MID(N81,1,1)&amp;" "&amp;MID(N81,5,1)&amp;""&amp;MID(N81,4,1)&amp;" "&amp;MID(N81,8,1)&amp;""&amp;MID(N81,7,1)</f>
        <v xml:space="preserve">61 62 </v>
      </c>
      <c r="L83" s="618"/>
      <c r="M83" s="618"/>
      <c r="N83" s="634"/>
      <c r="O83" s="635"/>
      <c r="P83" s="194" t="s">
        <v>499</v>
      </c>
      <c r="Q83" s="662" t="s">
        <v>606</v>
      </c>
      <c r="R83" s="621">
        <v>2</v>
      </c>
    </row>
    <row r="84" spans="1:18" ht="12.75" customHeight="1" x14ac:dyDescent="0.2">
      <c r="A84" s="241"/>
      <c r="B84" s="202"/>
      <c r="C84" s="202"/>
      <c r="D84" s="242"/>
      <c r="E84" s="202"/>
      <c r="F84" s="202"/>
      <c r="G84" s="202"/>
      <c r="H84" s="237"/>
      <c r="I84" s="623" t="s">
        <v>77</v>
      </c>
      <c r="J84" s="624"/>
      <c r="K84" s="623" t="s">
        <v>77</v>
      </c>
      <c r="L84" s="625"/>
      <c r="M84" s="624"/>
      <c r="N84" s="636"/>
      <c r="O84" s="637"/>
      <c r="P84" s="243" t="s">
        <v>77</v>
      </c>
      <c r="Q84" s="244"/>
      <c r="R84" s="622"/>
    </row>
    <row r="85" spans="1:18" ht="26.25" customHeight="1" x14ac:dyDescent="0.2">
      <c r="A85" s="195">
        <v>4</v>
      </c>
      <c r="B85" s="147">
        <f>IF($D85="","",VLOOKUP($D85,'Si Q priprema'!$A$11:$F$138,5))</f>
        <v>94</v>
      </c>
      <c r="C85" s="147" t="str">
        <f>IF($D85="","",UPPER(IF(OR(VLOOKUP($D85,'Si Q priprema'!$A$11:$F$138,6)=0,VLOOKUP($D85,'Si Q priprema'!$A$11:$F$138,6)="QA"),"",VLOOKUP($D85,'Si Q priprema'!$A$11:$F$138,6))))</f>
        <v/>
      </c>
      <c r="D85" s="194">
        <v>15</v>
      </c>
      <c r="E85" s="608" t="str">
        <f>IF($D85="","",UPPER(VLOOKUP($D85,'Si Q priprema'!$A$11:$F$138,2))&amp;", "&amp;VLOOKUP($D85,'Si Q priprema'!$A$11:$F$138,3))</f>
        <v>CEREZIN, Vito</v>
      </c>
      <c r="F85" s="609"/>
      <c r="G85" s="196" t="str">
        <f>IF($D85="","",UPPER(VLOOKUP($D85,'Si Q priprema'!$A$11:$F$138,4)))</f>
        <v>TTC</v>
      </c>
      <c r="H85" s="183"/>
      <c r="I85" s="610" t="str">
        <f>MID(P79,2,1)&amp;""&amp;MID(P79,1,1)&amp;" "&amp;MID(P79,5,1)&amp;""&amp;MID(P79,4,1)&amp;" "&amp;MID(P79,8,1)&amp;""&amp;MID(P79,7,1)</f>
        <v xml:space="preserve">26 36 </v>
      </c>
      <c r="J85" s="611"/>
      <c r="K85" s="618" t="str">
        <f>MID(P81,2,1)&amp;""&amp;MID(P81,1,1)&amp;" "&amp;MID(P81,5,1)&amp;""&amp;MID(P81,4,1)&amp;" "&amp;MID(P81,8,1)&amp;""&amp;MID(P81,7,1)</f>
        <v xml:space="preserve">75 60 </v>
      </c>
      <c r="L85" s="618"/>
      <c r="M85" s="618"/>
      <c r="N85" s="610" t="s">
        <v>500</v>
      </c>
      <c r="O85" s="611"/>
      <c r="P85" s="619"/>
      <c r="Q85" s="662" t="s">
        <v>607</v>
      </c>
      <c r="R85" s="621">
        <v>3</v>
      </c>
    </row>
    <row r="86" spans="1:18" ht="12.75" customHeight="1" x14ac:dyDescent="0.2">
      <c r="A86" s="241"/>
      <c r="B86" s="202"/>
      <c r="C86" s="202"/>
      <c r="D86" s="242"/>
      <c r="E86" s="202"/>
      <c r="F86" s="202"/>
      <c r="G86" s="202"/>
      <c r="H86" s="237"/>
      <c r="I86" s="623" t="s">
        <v>77</v>
      </c>
      <c r="J86" s="624"/>
      <c r="K86" s="623" t="s">
        <v>77</v>
      </c>
      <c r="L86" s="625"/>
      <c r="M86" s="624"/>
      <c r="N86" s="623" t="s">
        <v>77</v>
      </c>
      <c r="O86" s="624"/>
      <c r="P86" s="620"/>
      <c r="Q86" s="244"/>
      <c r="R86" s="622"/>
    </row>
    <row r="87" spans="1:18" ht="12.75" customHeight="1" x14ac:dyDescent="0.2">
      <c r="A87" s="149"/>
      <c r="B87" s="149"/>
      <c r="C87" s="149"/>
      <c r="D87" s="239"/>
      <c r="E87" s="149"/>
      <c r="F87" s="149"/>
      <c r="G87" s="149"/>
      <c r="H87" s="149"/>
      <c r="I87" s="236"/>
      <c r="J87" s="236"/>
      <c r="K87" s="236"/>
      <c r="L87" s="236"/>
      <c r="M87" s="236"/>
      <c r="N87" s="236"/>
      <c r="O87" s="236"/>
      <c r="P87" s="245"/>
      <c r="Q87" s="149"/>
      <c r="R87" s="246"/>
    </row>
    <row r="88" spans="1:18" ht="12.75" customHeight="1" x14ac:dyDescent="0.2">
      <c r="D88" s="239"/>
    </row>
    <row r="89" spans="1:18" ht="26.25" customHeight="1" x14ac:dyDescent="0.2">
      <c r="A89" s="174" t="s">
        <v>107</v>
      </c>
      <c r="B89" s="190"/>
      <c r="C89" s="190"/>
      <c r="D89" s="239"/>
      <c r="E89" s="193"/>
      <c r="F89" s="193"/>
      <c r="G89" s="191"/>
      <c r="H89" s="25"/>
      <c r="I89" s="638" t="str">
        <f>IF($D90&gt;0,LEFT($E90,FIND(", ",$E90)-1),"")</f>
        <v>MARIĆ</v>
      </c>
      <c r="J89" s="639"/>
      <c r="K89" s="640" t="str">
        <f>IF($D92&gt;0,LEFT($E92,FIND(", ",$E92)-1),"")</f>
        <v>RADIĆ</v>
      </c>
      <c r="L89" s="640"/>
      <c r="M89" s="640"/>
      <c r="N89" s="638" t="str">
        <f>IF($D94&gt;0,LEFT($E94,FIND(", ",$E94)-1),"")</f>
        <v>MINIRI</v>
      </c>
      <c r="O89" s="639"/>
      <c r="P89" s="129" t="str">
        <f>IF($D96&gt;0,LEFT($E96,FIND(", ",$E96)-1),"")</f>
        <v>BULOVIĆ</v>
      </c>
      <c r="Q89" s="198" t="s">
        <v>119</v>
      </c>
      <c r="R89" s="199" t="s">
        <v>120</v>
      </c>
    </row>
    <row r="90" spans="1:18" ht="26.25" customHeight="1" x14ac:dyDescent="0.2">
      <c r="A90" s="195">
        <v>1</v>
      </c>
      <c r="B90" s="147">
        <f>IF($D90="","",VLOOKUP($D90,'Si Q priprema'!$A$11:$F$138,5))</f>
        <v>63</v>
      </c>
      <c r="C90" s="147" t="str">
        <f>IF($D90="","",UPPER(IF(OR(VLOOKUP($D90,'Si Q priprema'!$A$11:$F$138,6)=0,VLOOKUP($D90,'Si Q priprema'!$A$11:$F$138,6)="QA"),"",VLOOKUP($D90,'Si Q priprema'!$A$11:$F$138,6))))</f>
        <v/>
      </c>
      <c r="D90" s="194">
        <v>7</v>
      </c>
      <c r="E90" s="608" t="str">
        <f>IF($D90="","",UPPER(VLOOKUP($D90,'Si Q priprema'!$A$11:$F$138,2))&amp;", "&amp;VLOOKUP($D90,'Si Q priprema'!$A$11:$F$138,3))</f>
        <v>MARIĆ, Vid</v>
      </c>
      <c r="F90" s="609"/>
      <c r="G90" s="196" t="str">
        <f>IF($D90="","",UPPER(VLOOKUP($D90,'Si Q priprema'!$A$11:$F$138,4)))</f>
        <v>TSP</v>
      </c>
      <c r="H90" s="208"/>
      <c r="I90" s="634"/>
      <c r="J90" s="635"/>
      <c r="K90" s="632" t="s">
        <v>495</v>
      </c>
      <c r="L90" s="641"/>
      <c r="M90" s="633"/>
      <c r="N90" s="632" t="s">
        <v>515</v>
      </c>
      <c r="O90" s="633"/>
      <c r="P90" s="194" t="s">
        <v>515</v>
      </c>
      <c r="Q90" s="662" t="s">
        <v>605</v>
      </c>
      <c r="R90" s="621">
        <v>1</v>
      </c>
    </row>
    <row r="91" spans="1:18" ht="12.75" customHeight="1" x14ac:dyDescent="0.2">
      <c r="A91" s="241"/>
      <c r="B91" s="202"/>
      <c r="C91" s="202"/>
      <c r="D91" s="242"/>
      <c r="E91" s="202"/>
      <c r="F91" s="202"/>
      <c r="G91" s="202"/>
      <c r="H91" s="202"/>
      <c r="I91" s="636"/>
      <c r="J91" s="637"/>
      <c r="K91" s="623" t="s">
        <v>77</v>
      </c>
      <c r="L91" s="625"/>
      <c r="M91" s="624"/>
      <c r="N91" s="623" t="s">
        <v>77</v>
      </c>
      <c r="O91" s="624"/>
      <c r="P91" s="243" t="s">
        <v>77</v>
      </c>
      <c r="Q91" s="244"/>
      <c r="R91" s="622"/>
    </row>
    <row r="92" spans="1:18" ht="26.25" customHeight="1" x14ac:dyDescent="0.2">
      <c r="A92" s="195">
        <v>2</v>
      </c>
      <c r="B92" s="147">
        <f>IF($D92="","",VLOOKUP($D92,'Si Q priprema'!$A$11:$F$138,5))</f>
        <v>0</v>
      </c>
      <c r="C92" s="147" t="str">
        <f>IF($D92="","",UPPER(IF(OR(VLOOKUP($D92,'Si Q priprema'!$A$11:$F$138,6)=0,VLOOKUP($D92,'Si Q priprema'!$A$11:$F$138,6)="QA"),"",VLOOKUP($D92,'Si Q priprema'!$A$11:$F$138,6))))</f>
        <v/>
      </c>
      <c r="D92" s="194">
        <v>38</v>
      </c>
      <c r="E92" s="608" t="str">
        <f>IF($D92="","",UPPER(VLOOKUP($D92,'Si Q priprema'!$A$11:$F$138,2))&amp;", "&amp;VLOOKUP($D92,'Si Q priprema'!$A$11:$F$138,3))</f>
        <v xml:space="preserve">RADIĆ, Lun-Petre </v>
      </c>
      <c r="F92" s="609"/>
      <c r="G92" s="196" t="str">
        <f>IF($D92="","",UPPER(VLOOKUP($D92,'Si Q priprema'!$A$11:$F$138,4)))</f>
        <v>TSP</v>
      </c>
      <c r="H92" s="183"/>
      <c r="I92" s="610" t="str">
        <f>MID(K90,2,1)&amp;""&amp;MID(K90,1,1)&amp;" "&amp;MID(K90,5,1)&amp;""&amp;MID(K90,4,1)&amp;" "&amp;MID(K90,8,1)&amp;""&amp;MID(K90,7,1)</f>
        <v xml:space="preserve">16 06 </v>
      </c>
      <c r="J92" s="611"/>
      <c r="K92" s="626"/>
      <c r="L92" s="627"/>
      <c r="M92" s="628"/>
      <c r="N92" s="632" t="s">
        <v>517</v>
      </c>
      <c r="O92" s="633"/>
      <c r="P92" s="194" t="s">
        <v>533</v>
      </c>
      <c r="Q92" s="662" t="s">
        <v>608</v>
      </c>
      <c r="R92" s="621">
        <v>4</v>
      </c>
    </row>
    <row r="93" spans="1:18" ht="12.75" customHeight="1" x14ac:dyDescent="0.2">
      <c r="A93" s="241"/>
      <c r="B93" s="202"/>
      <c r="C93" s="202"/>
      <c r="D93" s="242"/>
      <c r="E93" s="202"/>
      <c r="F93" s="202"/>
      <c r="G93" s="202"/>
      <c r="H93" s="237"/>
      <c r="I93" s="623" t="s">
        <v>77</v>
      </c>
      <c r="J93" s="624"/>
      <c r="K93" s="629"/>
      <c r="L93" s="630"/>
      <c r="M93" s="631"/>
      <c r="N93" s="623" t="s">
        <v>77</v>
      </c>
      <c r="O93" s="624"/>
      <c r="P93" s="243" t="s">
        <v>77</v>
      </c>
      <c r="Q93" s="244"/>
      <c r="R93" s="622"/>
    </row>
    <row r="94" spans="1:18" ht="26.25" customHeight="1" x14ac:dyDescent="0.2">
      <c r="A94" s="195">
        <v>3</v>
      </c>
      <c r="B94" s="147">
        <f>IF($D94="","",VLOOKUP($D94,'Si Q priprema'!$A$11:$F$138,5))</f>
        <v>0</v>
      </c>
      <c r="C94" s="147" t="str">
        <f>IF($D94="","",UPPER(IF(OR(VLOOKUP($D94,'Si Q priprema'!$A$11:$F$138,6)=0,VLOOKUP($D94,'Si Q priprema'!$A$11:$F$138,6)="QA"),"",VLOOKUP($D94,'Si Q priprema'!$A$11:$F$138,6))))</f>
        <v/>
      </c>
      <c r="D94" s="194">
        <v>35</v>
      </c>
      <c r="E94" s="608" t="str">
        <f>IF($D94="","",UPPER(VLOOKUP($D94,'Si Q priprema'!$A$11:$F$138,2))&amp;", "&amp;VLOOKUP($D94,'Si Q priprema'!$A$11:$F$138,3))</f>
        <v>MINIRI, Edvin</v>
      </c>
      <c r="F94" s="609"/>
      <c r="G94" s="196" t="str">
        <f>IF($D94="","",UPPER(VLOOKUP($D94,'Si Q priprema'!$A$11:$F$138,4)))</f>
        <v>VIC</v>
      </c>
      <c r="H94" s="183"/>
      <c r="I94" s="610" t="str">
        <f>MID(N90,2,1)&amp;""&amp;MID(N90,1,1)&amp;" "&amp;MID(N90,5,1)&amp;""&amp;MID(N90,4,1)&amp;" "&amp;MID(N90,8,1)&amp;""&amp;MID(N90,7,1)</f>
        <v xml:space="preserve">06 26 </v>
      </c>
      <c r="J94" s="611"/>
      <c r="K94" s="618" t="str">
        <f>MID(N92,2,1)&amp;""&amp;MID(N92,1,1)&amp;" "&amp;MID(N92,5,1)&amp;""&amp;MID(N92,4,1)&amp;" "&amp;MID(N92,8,1)&amp;""&amp;MID(N92,7,1)</f>
        <v xml:space="preserve">63 64 </v>
      </c>
      <c r="L94" s="618"/>
      <c r="M94" s="618"/>
      <c r="N94" s="634"/>
      <c r="O94" s="635"/>
      <c r="P94" s="194" t="s">
        <v>501</v>
      </c>
      <c r="Q94" s="662" t="s">
        <v>607</v>
      </c>
      <c r="R94" s="621">
        <v>3</v>
      </c>
    </row>
    <row r="95" spans="1:18" ht="12.75" customHeight="1" x14ac:dyDescent="0.2">
      <c r="A95" s="241"/>
      <c r="B95" s="202"/>
      <c r="C95" s="202"/>
      <c r="D95" s="242"/>
      <c r="E95" s="202"/>
      <c r="F95" s="202"/>
      <c r="G95" s="202"/>
      <c r="H95" s="237"/>
      <c r="I95" s="623" t="s">
        <v>77</v>
      </c>
      <c r="J95" s="624"/>
      <c r="K95" s="623" t="s">
        <v>77</v>
      </c>
      <c r="L95" s="625"/>
      <c r="M95" s="624"/>
      <c r="N95" s="636"/>
      <c r="O95" s="637"/>
      <c r="P95" s="243" t="s">
        <v>77</v>
      </c>
      <c r="Q95" s="244"/>
      <c r="R95" s="622"/>
    </row>
    <row r="96" spans="1:18" ht="26.25" customHeight="1" x14ac:dyDescent="0.2">
      <c r="A96" s="195">
        <v>4</v>
      </c>
      <c r="B96" s="147">
        <f>IF($D96="","",VLOOKUP($D96,'Si Q priprema'!$A$11:$F$138,5))</f>
        <v>105</v>
      </c>
      <c r="C96" s="147" t="str">
        <f>IF($D96="","",UPPER(IF(OR(VLOOKUP($D96,'Si Q priprema'!$A$11:$F$138,6)=0,VLOOKUP($D96,'Si Q priprema'!$A$11:$F$138,6)="QA"),"",VLOOKUP($D96,'Si Q priprema'!$A$11:$F$138,6))))</f>
        <v/>
      </c>
      <c r="D96" s="194">
        <v>17</v>
      </c>
      <c r="E96" s="608" t="str">
        <f>IF($D96="","",UPPER(VLOOKUP($D96,'Si Q priprema'!$A$11:$F$138,2))&amp;", "&amp;VLOOKUP($D96,'Si Q priprema'!$A$11:$F$138,3))</f>
        <v>BULOVIĆ, Matija</v>
      </c>
      <c r="F96" s="609"/>
      <c r="G96" s="196" t="str">
        <f>IF($D96="","",UPPER(VLOOKUP($D96,'Si Q priprema'!$A$11:$F$138,4)))</f>
        <v>RAL</v>
      </c>
      <c r="H96" s="183"/>
      <c r="I96" s="610" t="str">
        <f>MID(P90,2,1)&amp;""&amp;MID(P90,1,1)&amp;" "&amp;MID(P90,5,1)&amp;""&amp;MID(P90,4,1)&amp;" "&amp;MID(P90,8,1)&amp;""&amp;MID(P90,7,1)</f>
        <v xml:space="preserve">06 26 </v>
      </c>
      <c r="J96" s="611"/>
      <c r="K96" s="618" t="str">
        <f>MID(P92,2,1)&amp;""&amp;MID(P92,1,1)&amp;" "&amp;MID(P92,5,1)&amp;""&amp;MID(P92,4,1)&amp;" "&amp;MID(P92,8,1)&amp;""&amp;MID(P92,7,1)</f>
        <v xml:space="preserve">75 63 </v>
      </c>
      <c r="L96" s="618"/>
      <c r="M96" s="618"/>
      <c r="N96" s="610" t="str">
        <f>MID(P94,2,1)&amp;""&amp;MID(P94,1,1)&amp;" "&amp;MID(P94,5,1)&amp;""&amp;MID(P94,4,1)&amp;" "&amp;MID(P94,8,1)&amp;""&amp;MID(P94,7,1)</f>
        <v xml:space="preserve">63 62 </v>
      </c>
      <c r="O96" s="611"/>
      <c r="P96" s="619"/>
      <c r="Q96" s="662" t="s">
        <v>606</v>
      </c>
      <c r="R96" s="621">
        <v>2</v>
      </c>
    </row>
    <row r="97" spans="1:18" ht="12.75" customHeight="1" x14ac:dyDescent="0.2">
      <c r="A97" s="241"/>
      <c r="B97" s="202"/>
      <c r="C97" s="202"/>
      <c r="D97" s="242"/>
      <c r="E97" s="202"/>
      <c r="F97" s="202"/>
      <c r="G97" s="202"/>
      <c r="H97" s="237"/>
      <c r="I97" s="623" t="s">
        <v>77</v>
      </c>
      <c r="J97" s="624"/>
      <c r="K97" s="623" t="s">
        <v>77</v>
      </c>
      <c r="L97" s="625"/>
      <c r="M97" s="624"/>
      <c r="N97" s="623" t="s">
        <v>77</v>
      </c>
      <c r="O97" s="624"/>
      <c r="P97" s="620"/>
      <c r="Q97" s="244"/>
      <c r="R97" s="622"/>
    </row>
    <row r="98" spans="1:18" ht="12.75" customHeight="1" x14ac:dyDescent="0.2">
      <c r="A98" s="149"/>
      <c r="B98" s="149"/>
      <c r="C98" s="149"/>
      <c r="D98" s="239"/>
      <c r="E98" s="149"/>
      <c r="F98" s="149"/>
      <c r="G98" s="149"/>
      <c r="H98" s="149"/>
      <c r="I98" s="236"/>
      <c r="J98" s="236"/>
      <c r="K98" s="236"/>
      <c r="L98" s="236"/>
      <c r="M98" s="236"/>
      <c r="N98" s="236"/>
      <c r="O98" s="236"/>
      <c r="P98" s="245"/>
      <c r="Q98" s="149"/>
      <c r="R98" s="246"/>
    </row>
    <row r="99" spans="1:18" ht="12.75" customHeight="1" x14ac:dyDescent="0.2">
      <c r="D99" s="239"/>
    </row>
    <row r="100" spans="1:18" ht="26.25" customHeight="1" x14ac:dyDescent="0.2">
      <c r="A100" s="174" t="s">
        <v>108</v>
      </c>
      <c r="B100" s="190"/>
      <c r="C100" s="190"/>
      <c r="D100" s="239"/>
      <c r="E100" s="193"/>
      <c r="F100" s="193"/>
      <c r="G100" s="191"/>
      <c r="H100" s="25"/>
      <c r="I100" s="638" t="str">
        <f>IF($D101&gt;0,LEFT($E101,FIND(", ",$E101)-1),"")</f>
        <v>KRŽIĆ</v>
      </c>
      <c r="J100" s="639"/>
      <c r="K100" s="640" t="str">
        <f>IF($D103&gt;0,LEFT($E103,FIND(", ",$E103)-1),"")</f>
        <v>LUČIĆ</v>
      </c>
      <c r="L100" s="640"/>
      <c r="M100" s="640"/>
      <c r="N100" s="638" t="str">
        <f>IF($D105&gt;0,LEFT($E105,FIND(", ",$E105)-1),"")</f>
        <v>STEPANIĆ</v>
      </c>
      <c r="O100" s="639"/>
      <c r="P100" s="129" t="str">
        <f>IF($D107&gt;0,LEFT($E107,FIND(", ",$E107)-1),"")</f>
        <v>BRADVIĆ</v>
      </c>
      <c r="Q100" s="198" t="s">
        <v>119</v>
      </c>
      <c r="R100" s="199" t="s">
        <v>120</v>
      </c>
    </row>
    <row r="101" spans="1:18" ht="26.25" customHeight="1" x14ac:dyDescent="0.2">
      <c r="A101" s="195">
        <v>1</v>
      </c>
      <c r="B101" s="147">
        <f>IF($D101="","",VLOOKUP($D101,'Si Q priprema'!$A$11:$F$138,5))</f>
        <v>66</v>
      </c>
      <c r="C101" s="147" t="str">
        <f>IF($D101="","",UPPER(IF(OR(VLOOKUP($D101,'Si Q priprema'!$A$11:$F$138,6)=0,VLOOKUP($D101,'Si Q priprema'!$A$11:$F$138,6)="QA"),"",VLOOKUP($D101,'Si Q priprema'!$A$11:$F$138,6))))</f>
        <v/>
      </c>
      <c r="D101" s="194">
        <v>8</v>
      </c>
      <c r="E101" s="608" t="str">
        <f>IF($D101="","",UPPER(VLOOKUP($D101,'Si Q priprema'!$A$11:$F$138,2))&amp;", "&amp;VLOOKUP($D101,'Si Q priprema'!$A$11:$F$138,3))</f>
        <v>KRŽIĆ, Tin</v>
      </c>
      <c r="F101" s="609"/>
      <c r="G101" s="196" t="str">
        <f>IF($D101="","",UPPER(VLOOKUP($D101,'Si Q priprema'!$A$11:$F$138,4)))</f>
        <v>TER</v>
      </c>
      <c r="H101" s="208"/>
      <c r="I101" s="634"/>
      <c r="J101" s="635"/>
      <c r="K101" s="632" t="s">
        <v>489</v>
      </c>
      <c r="L101" s="641"/>
      <c r="M101" s="633"/>
      <c r="N101" s="632" t="s">
        <v>490</v>
      </c>
      <c r="O101" s="633"/>
      <c r="P101" s="194" t="s">
        <v>516</v>
      </c>
      <c r="Q101" s="662" t="s">
        <v>605</v>
      </c>
      <c r="R101" s="621">
        <v>1</v>
      </c>
    </row>
    <row r="102" spans="1:18" ht="12.75" customHeight="1" x14ac:dyDescent="0.2">
      <c r="A102" s="241"/>
      <c r="B102" s="202"/>
      <c r="C102" s="202"/>
      <c r="D102" s="242"/>
      <c r="E102" s="202"/>
      <c r="F102" s="202"/>
      <c r="G102" s="202"/>
      <c r="H102" s="202"/>
      <c r="I102" s="636"/>
      <c r="J102" s="637"/>
      <c r="K102" s="623" t="s">
        <v>77</v>
      </c>
      <c r="L102" s="625"/>
      <c r="M102" s="624"/>
      <c r="N102" s="623" t="s">
        <v>77</v>
      </c>
      <c r="O102" s="624"/>
      <c r="P102" s="243" t="s">
        <v>77</v>
      </c>
      <c r="Q102" s="244"/>
      <c r="R102" s="622"/>
    </row>
    <row r="103" spans="1:18" ht="26.25" customHeight="1" x14ac:dyDescent="0.2">
      <c r="A103" s="195">
        <v>2</v>
      </c>
      <c r="B103" s="147">
        <f>IF($D103="","",VLOOKUP($D103,'Si Q priprema'!$A$11:$F$138,5))</f>
        <v>0</v>
      </c>
      <c r="C103" s="147" t="str">
        <f>IF($D103="","",UPPER(IF(OR(VLOOKUP($D103,'Si Q priprema'!$A$11:$F$138,6)=0,VLOOKUP($D103,'Si Q priprema'!$A$11:$F$138,6)="QA"),"",VLOOKUP($D103,'Si Q priprema'!$A$11:$F$138,6))))</f>
        <v/>
      </c>
      <c r="D103" s="194">
        <v>30</v>
      </c>
      <c r="E103" s="608" t="str">
        <f>IF($D103="","",UPPER(VLOOKUP($D103,'Si Q priprema'!$A$11:$F$138,2))&amp;", "&amp;VLOOKUP($D103,'Si Q priprema'!$A$11:$F$138,3))</f>
        <v>LUČIĆ, Vito</v>
      </c>
      <c r="F103" s="609"/>
      <c r="G103" s="196" t="str">
        <f>IF($D103="","",UPPER(VLOOKUP($D103,'Si Q priprema'!$A$11:$F$138,4)))</f>
        <v>ZPR</v>
      </c>
      <c r="H103" s="183"/>
      <c r="I103" s="610" t="str">
        <f>MID(K101,2,1)&amp;""&amp;MID(K101,1,1)&amp;" "&amp;MID(K101,5,1)&amp;""&amp;MID(K101,4,1)&amp;" "&amp;MID(K101,8,1)&amp;""&amp;MID(K101,7,1)</f>
        <v xml:space="preserve">06 06 </v>
      </c>
      <c r="J103" s="611"/>
      <c r="K103" s="626"/>
      <c r="L103" s="627"/>
      <c r="M103" s="628"/>
      <c r="N103" s="632" t="s">
        <v>523</v>
      </c>
      <c r="O103" s="633"/>
      <c r="P103" s="194" t="s">
        <v>534</v>
      </c>
      <c r="Q103" s="662" t="s">
        <v>608</v>
      </c>
      <c r="R103" s="621">
        <v>4</v>
      </c>
    </row>
    <row r="104" spans="1:18" ht="12.75" customHeight="1" x14ac:dyDescent="0.2">
      <c r="A104" s="241"/>
      <c r="B104" s="202"/>
      <c r="C104" s="202"/>
      <c r="D104" s="242"/>
      <c r="E104" s="202"/>
      <c r="F104" s="202"/>
      <c r="G104" s="202"/>
      <c r="H104" s="237"/>
      <c r="I104" s="623" t="s">
        <v>77</v>
      </c>
      <c r="J104" s="624"/>
      <c r="K104" s="629"/>
      <c r="L104" s="630"/>
      <c r="M104" s="631"/>
      <c r="N104" s="623" t="s">
        <v>77</v>
      </c>
      <c r="O104" s="624"/>
      <c r="P104" s="243" t="s">
        <v>77</v>
      </c>
      <c r="Q104" s="244"/>
      <c r="R104" s="622"/>
    </row>
    <row r="105" spans="1:18" ht="26.25" customHeight="1" x14ac:dyDescent="0.2">
      <c r="A105" s="195">
        <v>3</v>
      </c>
      <c r="B105" s="147">
        <f>IF($D105="","",VLOOKUP($D105,'Si Q priprema'!$A$11:$F$138,5))</f>
        <v>0</v>
      </c>
      <c r="C105" s="147" t="str">
        <f>IF($D105="","",UPPER(IF(OR(VLOOKUP($D105,'Si Q priprema'!$A$11:$F$138,6)=0,VLOOKUP($D105,'Si Q priprema'!$A$11:$F$138,6)="QA"),"",VLOOKUP($D105,'Si Q priprema'!$A$11:$F$138,6))))</f>
        <v>WC</v>
      </c>
      <c r="D105" s="194">
        <v>41</v>
      </c>
      <c r="E105" s="608" t="str">
        <f>IF($D105="","",UPPER(VLOOKUP($D105,'Si Q priprema'!$A$11:$F$138,2))&amp;", "&amp;VLOOKUP($D105,'Si Q priprema'!$A$11:$F$138,3))</f>
        <v>STEPANIĆ, Bartol</v>
      </c>
      <c r="F105" s="609"/>
      <c r="G105" s="196" t="str">
        <f>IF($D105="","",UPPER(VLOOKUP($D105,'Si Q priprema'!$A$11:$F$138,4)))</f>
        <v>ITE</v>
      </c>
      <c r="H105" s="183"/>
      <c r="I105" s="610" t="str">
        <f>MID(N101,2,1)&amp;""&amp;MID(N101,1,1)&amp;" "&amp;MID(N101,5,1)&amp;""&amp;MID(N101,4,1)&amp;" "&amp;MID(N101,8,1)&amp;""&amp;MID(N101,7,1)</f>
        <v xml:space="preserve">16 26 </v>
      </c>
      <c r="J105" s="611"/>
      <c r="K105" s="618" t="str">
        <f>MID(N103,2,1)&amp;""&amp;MID(N103,1,1)&amp;" "&amp;MID(N103,5,1)&amp;""&amp;MID(N103,4,1)&amp;" "&amp;MID(N103,8,1)&amp;""&amp;MID(N103,7,1)</f>
        <v>62 46 60</v>
      </c>
      <c r="L105" s="618"/>
      <c r="M105" s="618"/>
      <c r="N105" s="634"/>
      <c r="O105" s="635"/>
      <c r="P105" s="194" t="s">
        <v>504</v>
      </c>
      <c r="Q105" s="662" t="s">
        <v>607</v>
      </c>
      <c r="R105" s="621">
        <v>3</v>
      </c>
    </row>
    <row r="106" spans="1:18" ht="12.75" customHeight="1" x14ac:dyDescent="0.2">
      <c r="A106" s="241"/>
      <c r="B106" s="202"/>
      <c r="C106" s="202"/>
      <c r="D106" s="242"/>
      <c r="E106" s="202"/>
      <c r="F106" s="202"/>
      <c r="G106" s="202"/>
      <c r="H106" s="237"/>
      <c r="I106" s="623" t="s">
        <v>77</v>
      </c>
      <c r="J106" s="624"/>
      <c r="K106" s="623" t="s">
        <v>77</v>
      </c>
      <c r="L106" s="625"/>
      <c r="M106" s="624"/>
      <c r="N106" s="636"/>
      <c r="O106" s="637"/>
      <c r="P106" s="243" t="s">
        <v>77</v>
      </c>
      <c r="Q106" s="244"/>
      <c r="R106" s="622"/>
    </row>
    <row r="107" spans="1:18" ht="26.25" customHeight="1" x14ac:dyDescent="0.2">
      <c r="A107" s="195">
        <v>4</v>
      </c>
      <c r="B107" s="147">
        <f>IF($D107="","",VLOOKUP($D107,'Si Q priprema'!$A$11:$F$138,5))</f>
        <v>85</v>
      </c>
      <c r="C107" s="147" t="str">
        <f>IF($D107="","",UPPER(IF(OR(VLOOKUP($D107,'Si Q priprema'!$A$11:$F$138,6)=0,VLOOKUP($D107,'Si Q priprema'!$A$11:$F$138,6)="QA"),"",VLOOKUP($D107,'Si Q priprema'!$A$11:$F$138,6))))</f>
        <v/>
      </c>
      <c r="D107" s="194">
        <v>13</v>
      </c>
      <c r="E107" s="608" t="str">
        <f>IF($D107="","",UPPER(VLOOKUP($D107,'Si Q priprema'!$A$11:$F$138,2))&amp;", "&amp;VLOOKUP($D107,'Si Q priprema'!$A$11:$F$138,3))</f>
        <v>BRADVIĆ, Marko</v>
      </c>
      <c r="F107" s="609"/>
      <c r="G107" s="196" t="str">
        <f>IF($D107="","",UPPER(VLOOKUP($D107,'Si Q priprema'!$A$11:$F$138,4)))</f>
        <v>GMJ</v>
      </c>
      <c r="H107" s="183"/>
      <c r="I107" s="610" t="str">
        <f>MID(P101,2,1)&amp;""&amp;MID(P101,1,1)&amp;" "&amp;MID(P101,5,1)&amp;""&amp;MID(P101,4,1)&amp;" "&amp;MID(P101,8,1)&amp;""&amp;MID(P101,7,1)</f>
        <v xml:space="preserve">46 06 </v>
      </c>
      <c r="J107" s="611"/>
      <c r="K107" s="618" t="str">
        <f>MID(P103,2,1)&amp;""&amp;MID(P103,1,1)&amp;" "&amp;MID(P103,5,1)&amp;""&amp;MID(P103,4,1)&amp;" "&amp;MID(P103,8,1)&amp;""&amp;MID(P103,7,1)</f>
        <v xml:space="preserve">64 61 </v>
      </c>
      <c r="L107" s="618"/>
      <c r="M107" s="618"/>
      <c r="N107" s="610" t="str">
        <f>MID(P105,2,1)&amp;""&amp;MID(P105,1,1)&amp;" "&amp;MID(P105,5,1)&amp;""&amp;MID(P105,4,1)&amp;" "&amp;MID(P105,8,1)&amp;""&amp;MID(P105,7,1)</f>
        <v>64 26 75</v>
      </c>
      <c r="O107" s="611"/>
      <c r="P107" s="619"/>
      <c r="Q107" s="662" t="s">
        <v>606</v>
      </c>
      <c r="R107" s="621">
        <v>2</v>
      </c>
    </row>
    <row r="108" spans="1:18" ht="12.75" customHeight="1" x14ac:dyDescent="0.2">
      <c r="A108" s="241"/>
      <c r="B108" s="202"/>
      <c r="C108" s="202"/>
      <c r="D108" s="242"/>
      <c r="E108" s="202"/>
      <c r="F108" s="202"/>
      <c r="G108" s="202"/>
      <c r="H108" s="237"/>
      <c r="I108" s="623" t="s">
        <v>77</v>
      </c>
      <c r="J108" s="624"/>
      <c r="K108" s="623" t="s">
        <v>77</v>
      </c>
      <c r="L108" s="625"/>
      <c r="M108" s="624"/>
      <c r="N108" s="623" t="s">
        <v>77</v>
      </c>
      <c r="O108" s="624"/>
      <c r="P108" s="620"/>
      <c r="Q108" s="244"/>
      <c r="R108" s="622"/>
    </row>
    <row r="109" spans="1:18" ht="12.75" customHeight="1" x14ac:dyDescent="0.2"/>
    <row r="110" spans="1:18" ht="12.75" customHeight="1" x14ac:dyDescent="0.2">
      <c r="A110" s="30"/>
      <c r="B110" s="13"/>
      <c r="C110" s="13"/>
      <c r="D110" s="13"/>
      <c r="E110" s="13"/>
      <c r="F110" s="13"/>
      <c r="G110" s="13"/>
      <c r="H110" s="13"/>
      <c r="I110" s="13"/>
      <c r="J110" s="13"/>
      <c r="K110" s="13"/>
      <c r="L110" s="13"/>
      <c r="M110" s="13"/>
      <c r="N110" s="13"/>
      <c r="O110" s="13"/>
      <c r="P110" s="13"/>
      <c r="Q110" s="13"/>
      <c r="R110" s="37"/>
    </row>
    <row r="111" spans="1:18" ht="12" customHeight="1" x14ac:dyDescent="0.2">
      <c r="A111" s="44" t="s">
        <v>76</v>
      </c>
      <c r="B111" s="45"/>
      <c r="C111" s="46"/>
      <c r="D111" s="47" t="s">
        <v>14</v>
      </c>
      <c r="E111" s="45" t="s">
        <v>15</v>
      </c>
      <c r="F111" s="48"/>
      <c r="G111" s="48"/>
      <c r="H111" s="48"/>
      <c r="I111" s="46"/>
      <c r="J111" s="49" t="s">
        <v>14</v>
      </c>
      <c r="K111" s="172" t="s">
        <v>109</v>
      </c>
      <c r="L111" s="50"/>
      <c r="M111" s="50"/>
      <c r="N111" s="45"/>
      <c r="O111" s="44" t="s">
        <v>16</v>
      </c>
      <c r="P111" s="203"/>
      <c r="Q111" s="614" t="str">
        <f>$Q$54</f>
        <v xml:space="preserve">22.04.2016./8:20 h </v>
      </c>
      <c r="R111" s="615"/>
    </row>
    <row r="112" spans="1:18" ht="12" customHeight="1" x14ac:dyDescent="0.2">
      <c r="A112" s="51" t="s">
        <v>17</v>
      </c>
      <c r="B112" s="52"/>
      <c r="C112" s="53"/>
      <c r="D112" s="54">
        <v>1</v>
      </c>
      <c r="E112" s="169" t="str">
        <f>IF(VLOOKUP($D112,'Si Q priprema'!$A$11:$G$50,5)&gt;0,UPPER(VLOOKUP($D112,'Si Q priprema'!$A$11:$G$50,2))&amp;", "&amp;(VLOOKUP($D112,'Si Q priprema'!$A$11:$G$50,3))&amp;" ["&amp;(VLOOKUP($D112,'Si Q priprema'!$A$11:$G$50,5))&amp;"]","")</f>
        <v>NOTHIG, Karlo [44]</v>
      </c>
      <c r="F112" s="54">
        <v>9</v>
      </c>
      <c r="G112" s="616" t="str">
        <f>IF(VLOOKUP($F112,'Si Q priprema'!$A$11:$G$50,5)&gt;0,UPPER(VLOOKUP($F112,'Si Q priprema'!$A$11:$G$50,2))&amp;", "&amp;(VLOOKUP($F112,'Si Q priprema'!$A$11:$G$50,3))&amp;" ["&amp;(VLOOKUP($F112,'Si Q priprema'!$A$11:$G$50,5))&amp;"]","")</f>
        <v>HORVATIĆ, Max Ivan [67]</v>
      </c>
      <c r="H112" s="616"/>
      <c r="I112" s="617"/>
      <c r="J112" s="57">
        <v>1</v>
      </c>
      <c r="K112" s="58">
        <f>K55</f>
        <v>0</v>
      </c>
      <c r="L112" s="58"/>
      <c r="M112" s="58"/>
      <c r="N112" s="58"/>
      <c r="O112" s="200" t="s">
        <v>19</v>
      </c>
      <c r="Q112" s="52"/>
      <c r="R112" s="60"/>
    </row>
    <row r="113" spans="1:21" ht="12" customHeight="1" x14ac:dyDescent="0.2">
      <c r="A113" s="603" t="str">
        <f>Pocetna!$B$14</f>
        <v>01.04.2016.</v>
      </c>
      <c r="B113" s="604"/>
      <c r="C113" s="605"/>
      <c r="D113" s="54">
        <v>2</v>
      </c>
      <c r="E113" s="169" t="str">
        <f>IF(VLOOKUP($D113,'Si Q priprema'!$A$11:$G$50,5)&gt;0,UPPER(VLOOKUP($D113,'Si Q priprema'!$A$11:$G$50,2))&amp;", "&amp;(VLOOKUP($D113,'Si Q priprema'!$A$11:$G$50,3))&amp;" ["&amp;(VLOOKUP($D113,'Si Q priprema'!$A$11:$G$50,5))&amp;"]","")</f>
        <v>BOBOK, Josip [46]</v>
      </c>
      <c r="F113" s="54">
        <v>10</v>
      </c>
      <c r="G113" s="606" t="str">
        <f>IF(VLOOKUP($F113,'Si Q priprema'!$A$11:$G$50,5)&gt;0,UPPER(VLOOKUP($F113,'Si Q priprema'!$A$11:$G$50,2))&amp;", "&amp;(VLOOKUP($F113,'Si Q priprema'!$A$11:$G$50,3))&amp;" ["&amp;(VLOOKUP($F113,'Si Q priprema'!$A$11:$G$50,5))&amp;"]","")</f>
        <v>ĐEREK, Nikola [69]</v>
      </c>
      <c r="H113" s="606"/>
      <c r="I113" s="607"/>
      <c r="J113" s="57">
        <v>2</v>
      </c>
      <c r="K113" s="58">
        <f>K56</f>
        <v>0</v>
      </c>
      <c r="L113" s="58"/>
      <c r="M113" s="58"/>
      <c r="N113" s="58"/>
      <c r="O113" s="209" t="str">
        <f>$O$56</f>
        <v>Bye</v>
      </c>
      <c r="P113" s="202"/>
      <c r="Q113" s="62"/>
      <c r="R113" s="63"/>
    </row>
    <row r="114" spans="1:21" ht="12" customHeight="1" x14ac:dyDescent="0.2">
      <c r="A114" s="135" t="s">
        <v>23</v>
      </c>
      <c r="B114" s="40"/>
      <c r="C114" s="65"/>
      <c r="D114" s="54">
        <v>3</v>
      </c>
      <c r="E114" s="169" t="str">
        <f>IF(VLOOKUP($D114,'Si Q priprema'!$A$11:$G$50,5)&gt;0,UPPER(VLOOKUP($D114,'Si Q priprema'!$A$11:$G$50,2))&amp;", "&amp;(VLOOKUP($D114,'Si Q priprema'!$A$11:$G$50,3))&amp;" ["&amp;(VLOOKUP($D114,'Si Q priprema'!$A$11:$G$50,5))&amp;"]","")</f>
        <v>VOLJAVEC, Antonio [49]</v>
      </c>
      <c r="F114" s="54">
        <v>11</v>
      </c>
      <c r="G114" s="606" t="str">
        <f>IF(VLOOKUP($F114,'Si Q priprema'!$A$11:$G$50,5)&gt;0,UPPER(VLOOKUP($F114,'Si Q priprema'!$A$11:$G$50,2))&amp;", "&amp;(VLOOKUP($F114,'Si Q priprema'!$A$11:$G$50,3))&amp;" ["&amp;(VLOOKUP($F114,'Si Q priprema'!$A$11:$G$50,5))&amp;"]","")</f>
        <v>ŠANTIĆ, Leopold [72]</v>
      </c>
      <c r="H114" s="606"/>
      <c r="I114" s="607"/>
      <c r="J114" s="57">
        <f>J57</f>
        <v>0</v>
      </c>
      <c r="K114" s="58">
        <f>K57</f>
        <v>0</v>
      </c>
      <c r="L114" s="58"/>
      <c r="M114" s="58"/>
      <c r="N114" s="58"/>
      <c r="O114" s="200" t="s">
        <v>22</v>
      </c>
      <c r="Q114" s="52"/>
      <c r="R114" s="60"/>
    </row>
    <row r="115" spans="1:21" ht="12" customHeight="1" x14ac:dyDescent="0.2">
      <c r="A115" s="64" t="s">
        <v>26</v>
      </c>
      <c r="B115" s="58"/>
      <c r="C115" s="65">
        <f>$B$11</f>
        <v>44</v>
      </c>
      <c r="D115" s="54">
        <v>4</v>
      </c>
      <c r="E115" s="169" t="str">
        <f>IF(VLOOKUP($D115,'Si Q priprema'!$A$11:$G$50,5)&gt;0,UPPER(VLOOKUP($D115,'Si Q priprema'!$A$11:$G$50,2))&amp;", "&amp;(VLOOKUP($D115,'Si Q priprema'!$A$11:$G$50,3))&amp;" ["&amp;(VLOOKUP($D115,'Si Q priprema'!$A$11:$G$50,5))&amp;"]","")</f>
        <v>ŠTABEK, Domagoj [51]</v>
      </c>
      <c r="F115" s="54">
        <v>12</v>
      </c>
      <c r="G115" s="606" t="str">
        <f>IF(VLOOKUP($F115,'Si Q priprema'!$A$11:$G$50,5)&gt;0,UPPER(VLOOKUP($F115,'Si Q priprema'!$A$11:$G$50,2))&amp;", "&amp;(VLOOKUP($F115,'Si Q priprema'!$A$11:$G$50,3))&amp;" ["&amp;(VLOOKUP($F115,'Si Q priprema'!$A$11:$G$50,5))&amp;"]","")</f>
        <v>KOLIĆ, Kristijan [75]</v>
      </c>
      <c r="H115" s="606"/>
      <c r="I115" s="607"/>
      <c r="J115" s="57">
        <f>J58</f>
        <v>0</v>
      </c>
      <c r="K115" s="58">
        <f>K58</f>
        <v>0</v>
      </c>
      <c r="L115" s="58"/>
      <c r="M115" s="58"/>
      <c r="N115" s="185"/>
      <c r="O115" s="184" t="str">
        <f>$O$58</f>
        <v xml:space="preserve">KRSTANOVIĆ Luka </v>
      </c>
      <c r="Q115" s="58"/>
      <c r="R115" s="56"/>
    </row>
    <row r="116" spans="1:21" ht="12" customHeight="1" x14ac:dyDescent="0.2">
      <c r="A116" s="64" t="s">
        <v>18</v>
      </c>
      <c r="B116" s="58"/>
      <c r="C116" s="186">
        <f>$C$59</f>
        <v>105</v>
      </c>
      <c r="D116" s="54">
        <v>5</v>
      </c>
      <c r="E116" s="169" t="str">
        <f>IF(VLOOKUP($D116,'Si Q priprema'!$A$11:$G$50,5)&gt;0,UPPER(VLOOKUP($D116,'Si Q priprema'!$A$11:$G$50,2))&amp;", "&amp;(VLOOKUP($D116,'Si Q priprema'!$A$11:$G$50,3))&amp;" ["&amp;(VLOOKUP($D116,'Si Q priprema'!$A$11:$G$50,5))&amp;"]","")</f>
        <v>KRSTANOVIĆ, Luka [57]</v>
      </c>
      <c r="F116" s="54">
        <v>13</v>
      </c>
      <c r="G116" s="606" t="str">
        <f>IF(VLOOKUP($F116,'Si Q priprema'!$A$11:$G$50,5)&gt;0,UPPER(VLOOKUP($F116,'Si Q priprema'!$A$11:$G$50,2))&amp;", "&amp;(VLOOKUP($F116,'Si Q priprema'!$A$11:$G$50,3))&amp;" ["&amp;(VLOOKUP($F116,'Si Q priprema'!$A$11:$G$50,5))&amp;"]","")</f>
        <v>BRADVIĆ, Marko [85]</v>
      </c>
      <c r="H116" s="606"/>
      <c r="I116" s="607"/>
      <c r="J116" s="57">
        <f>J59</f>
        <v>0</v>
      </c>
      <c r="K116" s="58">
        <f>K59</f>
        <v>0</v>
      </c>
      <c r="L116" s="58"/>
      <c r="M116" s="58"/>
      <c r="N116" s="185"/>
      <c r="O116" s="61"/>
      <c r="P116" s="202"/>
      <c r="Q116" s="62"/>
      <c r="R116" s="63"/>
    </row>
    <row r="117" spans="1:21" ht="12" customHeight="1" x14ac:dyDescent="0.2">
      <c r="A117" s="135" t="s">
        <v>24</v>
      </c>
      <c r="B117" s="58"/>
      <c r="C117" s="65"/>
      <c r="D117" s="54">
        <v>6</v>
      </c>
      <c r="E117" s="171" t="str">
        <f>IF(VLOOKUP($D117,'Si Q priprema'!$A$11:$G$50,5)&gt;0,UPPER(VLOOKUP($D117,'Si Q priprema'!$A$11:$G$50,2))&amp;", "&amp;(VLOOKUP($D117,'Si Q priprema'!$A$11:$G$50,3))&amp;" ["&amp;(VLOOKUP($D117,'Si Q priprema'!$A$11:$G$50,5))&amp;"]","")</f>
        <v>DUBOVEČAK, Filip [62]</v>
      </c>
      <c r="F117" s="188">
        <v>14</v>
      </c>
      <c r="G117" s="606" t="str">
        <f>IF(VLOOKUP($F117,'Si Q priprema'!$A$11:$G$50,5)&gt;0,UPPER(VLOOKUP($F117,'Si Q priprema'!$A$11:$G$50,2))&amp;", "&amp;(VLOOKUP($F117,'Si Q priprema'!$A$11:$G$50,3))&amp;" ["&amp;(VLOOKUP($F117,'Si Q priprema'!$A$11:$G$50,5))&amp;"]","")</f>
        <v>KARAČIĆ, Vilim [85]</v>
      </c>
      <c r="H117" s="606"/>
      <c r="I117" s="607"/>
      <c r="J117" s="66" t="s">
        <v>21</v>
      </c>
      <c r="K117" s="52"/>
      <c r="L117" s="52"/>
      <c r="M117" s="52"/>
      <c r="N117" s="67"/>
      <c r="O117" s="200" t="s">
        <v>20</v>
      </c>
      <c r="Q117" s="52"/>
      <c r="R117" s="60"/>
    </row>
    <row r="118" spans="1:21" ht="12" customHeight="1" x14ac:dyDescent="0.2">
      <c r="A118" s="64" t="s">
        <v>26</v>
      </c>
      <c r="B118" s="58"/>
      <c r="C118" s="65">
        <f>$B$11</f>
        <v>44</v>
      </c>
      <c r="D118" s="54">
        <v>7</v>
      </c>
      <c r="E118" s="171" t="str">
        <f>IF(VLOOKUP($D118,'Si Q priprema'!$A$11:$G$50,5)&gt;0,UPPER(VLOOKUP($D118,'Si Q priprema'!$A$11:$G$50,2))&amp;", "&amp;(VLOOKUP($D118,'Si Q priprema'!$A$11:$G$50,3))&amp;" ["&amp;(VLOOKUP($D118,'Si Q priprema'!$A$11:$G$50,5))&amp;"]","")</f>
        <v>MARIĆ, Vid [63]</v>
      </c>
      <c r="F118" s="188">
        <v>15</v>
      </c>
      <c r="G118" s="606" t="str">
        <f>IF(VLOOKUP($F118,'Si Q priprema'!$A$11:$G$50,5)&gt;0,UPPER(VLOOKUP($F118,'Si Q priprema'!$A$11:$G$50,2))&amp;", "&amp;(VLOOKUP($F118,'Si Q priprema'!$A$11:$G$50,3))&amp;" ["&amp;(VLOOKUP($F118,'Si Q priprema'!$A$11:$G$50,5))&amp;"]","")</f>
        <v>CEREZIN, Vito [94]</v>
      </c>
      <c r="H118" s="606"/>
      <c r="I118" s="607"/>
      <c r="J118" s="68" t="str">
        <f>Pocetna!$F$14</f>
        <v xml:space="preserve">Boris Lumpert </v>
      </c>
      <c r="K118" s="58"/>
      <c r="L118" s="58"/>
      <c r="M118" s="58"/>
      <c r="N118" s="58"/>
      <c r="O118" s="64"/>
      <c r="Q118" s="58"/>
      <c r="R118" s="56"/>
    </row>
    <row r="119" spans="1:21" ht="12" customHeight="1" thickBot="1" x14ac:dyDescent="0.25">
      <c r="A119" s="61" t="s">
        <v>18</v>
      </c>
      <c r="B119" s="62"/>
      <c r="C119" s="187" t="str">
        <f>$C$62</f>
        <v>NR</v>
      </c>
      <c r="D119" s="527">
        <v>8</v>
      </c>
      <c r="E119" s="170" t="str">
        <f>IF(VLOOKUP($D119,'Si Q priprema'!$A$11:$G$50,5)&gt;0,UPPER(VLOOKUP($D119,'Si Q priprema'!$A$11:$G$50,2))&amp;", "&amp;(VLOOKUP($D119,'Si Q priprema'!$A$11:$G$50,3))&amp;" ["&amp;(VLOOKUP($D119,'Si Q priprema'!$A$11:$G$50,5))&amp;"]","")</f>
        <v>KRŽIĆ, Tin [66]</v>
      </c>
      <c r="F119" s="69">
        <v>16</v>
      </c>
      <c r="G119" s="612" t="str">
        <f>IF(VLOOKUP($F119,'Si Q priprema'!$A$11:$G$50,5)&gt;0,UPPER(VLOOKUP($F119,'Si Q priprema'!$A$11:$G$50,2))&amp;", "&amp;(VLOOKUP($F119,'Si Q priprema'!$A$11:$G$50,3))&amp;" ["&amp;(VLOOKUP($F119,'Si Q priprema'!$A$11:$G$50,5))&amp;"]","")</f>
        <v>POPOVIĆ, Mario [99]</v>
      </c>
      <c r="H119" s="612"/>
      <c r="I119" s="613"/>
      <c r="J119" s="71">
        <f>Pocetna!$F$15</f>
        <v>0</v>
      </c>
      <c r="K119" s="62"/>
      <c r="L119" s="62"/>
      <c r="M119" s="62"/>
      <c r="N119" s="62"/>
      <c r="O119" s="61" t="str">
        <f>Pocetna!$F$12</f>
        <v>Mladen Šančić</v>
      </c>
      <c r="P119" s="202"/>
      <c r="Q119" s="62"/>
      <c r="R119" s="63"/>
    </row>
    <row r="120" spans="1:21" ht="26.25" customHeight="1" x14ac:dyDescent="0.2">
      <c r="A120" s="20"/>
      <c r="B120" s="163" t="s">
        <v>6</v>
      </c>
      <c r="C120" s="163" t="s">
        <v>7</v>
      </c>
      <c r="D120" s="526" t="s">
        <v>8</v>
      </c>
      <c r="E120" s="642" t="s">
        <v>9</v>
      </c>
      <c r="F120" s="642"/>
      <c r="G120" s="163" t="s">
        <v>1</v>
      </c>
      <c r="H120" s="163"/>
      <c r="I120" s="642" t="s">
        <v>115</v>
      </c>
      <c r="J120" s="642"/>
      <c r="K120" s="642" t="s">
        <v>116</v>
      </c>
      <c r="L120" s="642"/>
      <c r="M120" s="642"/>
      <c r="N120" s="642" t="s">
        <v>117</v>
      </c>
      <c r="O120" s="642"/>
      <c r="P120" s="163" t="s">
        <v>118</v>
      </c>
      <c r="Q120" s="197" t="s">
        <v>119</v>
      </c>
      <c r="R120" s="163" t="s">
        <v>120</v>
      </c>
      <c r="U120" s="192"/>
    </row>
    <row r="121" spans="1:21" ht="12.75" customHeight="1" x14ac:dyDescent="0.2">
      <c r="A121" s="189"/>
      <c r="B121" s="165"/>
      <c r="C121" s="165"/>
      <c r="D121" s="205"/>
      <c r="E121" s="165"/>
      <c r="F121" s="165"/>
      <c r="G121" s="165"/>
      <c r="H121" s="165"/>
      <c r="I121" s="165"/>
      <c r="J121" s="165"/>
      <c r="K121" s="165"/>
      <c r="L121" s="165"/>
      <c r="M121" s="165"/>
      <c r="N121" s="165"/>
      <c r="O121" s="165"/>
      <c r="P121" s="165"/>
      <c r="Q121" s="204"/>
      <c r="R121" s="165"/>
      <c r="U121" s="192"/>
    </row>
    <row r="122" spans="1:21" ht="12.75" customHeight="1" x14ac:dyDescent="0.2">
      <c r="A122" s="189"/>
      <c r="B122" s="165"/>
      <c r="C122" s="165"/>
      <c r="D122" s="206"/>
      <c r="E122" s="165"/>
      <c r="F122" s="165"/>
      <c r="G122" s="165"/>
      <c r="H122" s="165"/>
      <c r="I122" s="165"/>
      <c r="J122" s="165"/>
      <c r="K122" s="165"/>
      <c r="L122" s="165"/>
      <c r="M122" s="165"/>
      <c r="N122" s="165"/>
      <c r="O122" s="165"/>
      <c r="P122" s="165"/>
      <c r="Q122" s="204"/>
      <c r="R122" s="165"/>
      <c r="U122" s="192"/>
    </row>
    <row r="123" spans="1:21" ht="12.75" customHeight="1" x14ac:dyDescent="0.2">
      <c r="A123" s="13"/>
      <c r="B123" s="13"/>
      <c r="C123" s="13"/>
      <c r="D123" s="207"/>
      <c r="E123" s="13"/>
      <c r="F123" s="13"/>
      <c r="G123" s="13"/>
      <c r="H123" s="13"/>
      <c r="I123" s="13"/>
      <c r="J123" s="13"/>
      <c r="K123" s="13"/>
      <c r="L123" s="13"/>
      <c r="M123" s="13"/>
      <c r="N123" s="13"/>
      <c r="O123" s="13"/>
      <c r="P123" s="13"/>
      <c r="Q123" s="13"/>
      <c r="R123" s="175"/>
      <c r="U123" s="192"/>
    </row>
    <row r="124" spans="1:21" ht="26.25" customHeight="1" x14ac:dyDescent="0.2">
      <c r="A124" s="174" t="s">
        <v>121</v>
      </c>
      <c r="B124" s="190"/>
      <c r="C124" s="190"/>
      <c r="D124" s="239"/>
      <c r="E124" s="193"/>
      <c r="F124" s="193"/>
      <c r="G124" s="191"/>
      <c r="H124" s="25"/>
      <c r="I124" s="638" t="str">
        <f>IF($D125&gt;0,LEFT($E125,FIND(", ",$E125)-1),"")</f>
        <v>HORVATIĆ</v>
      </c>
      <c r="J124" s="639"/>
      <c r="K124" s="640" t="str">
        <f>IF($D127&gt;0,LEFT($E127,FIND(", ",$E127)-1),"")</f>
        <v>GRGEC</v>
      </c>
      <c r="L124" s="640"/>
      <c r="M124" s="640"/>
      <c r="N124" s="638" t="str">
        <f>IF($D129&gt;0,LEFT($E129,FIND(", ",$E129)-1),"")</f>
        <v>ŠAGOVAC</v>
      </c>
      <c r="O124" s="639"/>
      <c r="P124" s="129" t="str">
        <f>IF($D131&gt;0,LEFT($E131,FIND(", ",$E131)-1),"")</f>
        <v>KARAČIĆ</v>
      </c>
      <c r="Q124" s="198" t="s">
        <v>119</v>
      </c>
      <c r="R124" s="199" t="s">
        <v>120</v>
      </c>
      <c r="U124" s="192"/>
    </row>
    <row r="125" spans="1:21" ht="26.25" customHeight="1" x14ac:dyDescent="0.2">
      <c r="A125" s="195">
        <v>1</v>
      </c>
      <c r="B125" s="147">
        <f>IF($D125="","",VLOOKUP($D125,'Si Q priprema'!$A$11:$F$138,5))</f>
        <v>67</v>
      </c>
      <c r="C125" s="147" t="str">
        <f>IF($D125="","",UPPER(IF(OR(VLOOKUP($D125,'Si Q priprema'!$A$11:$F$138,6)=0,VLOOKUP($D125,'Si Q priprema'!$A$11:$F$138,6)="QA"),"",VLOOKUP($D125,'Si Q priprema'!$A$11:$F$138,6))))</f>
        <v/>
      </c>
      <c r="D125" s="194">
        <v>9</v>
      </c>
      <c r="E125" s="608" t="str">
        <f>IF($D125="","",UPPER(VLOOKUP($D125,'Si Q priprema'!$A$11:$F$138,2))&amp;", "&amp;VLOOKUP($D125,'Si Q priprema'!$A$11:$F$138,3))</f>
        <v>HORVATIĆ, Max Ivan</v>
      </c>
      <c r="F125" s="609"/>
      <c r="G125" s="196" t="str">
        <f>IF($D125="","",UPPER(VLOOKUP($D125,'Si Q priprema'!$A$11:$F$138,4)))</f>
        <v>ITE</v>
      </c>
      <c r="H125" s="208"/>
      <c r="I125" s="634"/>
      <c r="J125" s="635"/>
      <c r="K125" s="632" t="s">
        <v>489</v>
      </c>
      <c r="L125" s="641"/>
      <c r="M125" s="633"/>
      <c r="N125" s="632" t="s">
        <v>508</v>
      </c>
      <c r="O125" s="633"/>
      <c r="P125" s="194" t="s">
        <v>525</v>
      </c>
      <c r="Q125" s="662" t="s">
        <v>606</v>
      </c>
      <c r="R125" s="621">
        <v>2</v>
      </c>
      <c r="U125" s="192"/>
    </row>
    <row r="126" spans="1:21" ht="12.75" customHeight="1" x14ac:dyDescent="0.2">
      <c r="A126" s="241"/>
      <c r="B126" s="202"/>
      <c r="C126" s="202"/>
      <c r="D126" s="242"/>
      <c r="E126" s="202"/>
      <c r="F126" s="202"/>
      <c r="G126" s="202"/>
      <c r="H126" s="202"/>
      <c r="I126" s="636"/>
      <c r="J126" s="637"/>
      <c r="K126" s="623" t="s">
        <v>77</v>
      </c>
      <c r="L126" s="625"/>
      <c r="M126" s="624"/>
      <c r="N126" s="623" t="s">
        <v>77</v>
      </c>
      <c r="O126" s="624"/>
      <c r="P126" s="243" t="s">
        <v>77</v>
      </c>
      <c r="Q126" s="244"/>
      <c r="R126" s="622"/>
      <c r="U126" s="192"/>
    </row>
    <row r="127" spans="1:21" ht="26.25" customHeight="1" x14ac:dyDescent="0.2">
      <c r="A127" s="195">
        <v>2</v>
      </c>
      <c r="B127" s="147">
        <f>IF($D127="","",VLOOKUP($D127,'Si Q priprema'!$A$11:$F$138,5))</f>
        <v>0</v>
      </c>
      <c r="C127" s="147" t="str">
        <f>IF($D127="","",UPPER(IF(OR(VLOOKUP($D127,'Si Q priprema'!$A$11:$F$138,6)=0,VLOOKUP($D127,'Si Q priprema'!$A$11:$F$138,6)="QA"),"",VLOOKUP($D127,'Si Q priprema'!$A$11:$F$138,6))))</f>
        <v/>
      </c>
      <c r="D127" s="194">
        <v>27</v>
      </c>
      <c r="E127" s="608" t="str">
        <f>IF($D127="","",UPPER(VLOOKUP($D127,'Si Q priprema'!$A$11:$F$138,2))&amp;", "&amp;VLOOKUP($D127,'Si Q priprema'!$A$11:$F$138,3))</f>
        <v>GRGEC, Borna</v>
      </c>
      <c r="F127" s="609"/>
      <c r="G127" s="196" t="str">
        <f>IF($D127="","",UPPER(VLOOKUP($D127,'Si Q priprema'!$A$11:$F$138,4)))</f>
        <v>ZPR</v>
      </c>
      <c r="H127" s="183"/>
      <c r="I127" s="610" t="str">
        <f>MID(K125,2,1)&amp;""&amp;MID(K125,1,1)&amp;" "&amp;MID(K125,5,1)&amp;""&amp;MID(K125,4,1)&amp;" "&amp;MID(K125,8,1)&amp;""&amp;MID(K125,7,1)</f>
        <v xml:space="preserve">06 06 </v>
      </c>
      <c r="J127" s="611"/>
      <c r="K127" s="626"/>
      <c r="L127" s="627"/>
      <c r="M127" s="628"/>
      <c r="N127" s="632" t="s">
        <v>524</v>
      </c>
      <c r="O127" s="633"/>
      <c r="P127" s="194" t="s">
        <v>513</v>
      </c>
      <c r="Q127" s="662" t="s">
        <v>608</v>
      </c>
      <c r="R127" s="621">
        <v>4</v>
      </c>
      <c r="U127" s="192"/>
    </row>
    <row r="128" spans="1:21" ht="12.75" customHeight="1" x14ac:dyDescent="0.2">
      <c r="A128" s="241"/>
      <c r="B128" s="202"/>
      <c r="C128" s="202"/>
      <c r="D128" s="242"/>
      <c r="E128" s="202"/>
      <c r="F128" s="202"/>
      <c r="G128" s="202"/>
      <c r="H128" s="237"/>
      <c r="I128" s="623" t="s">
        <v>77</v>
      </c>
      <c r="J128" s="624"/>
      <c r="K128" s="629"/>
      <c r="L128" s="630"/>
      <c r="M128" s="631"/>
      <c r="N128" s="623" t="s">
        <v>77</v>
      </c>
      <c r="O128" s="624"/>
      <c r="P128" s="243" t="s">
        <v>77</v>
      </c>
      <c r="Q128" s="244"/>
      <c r="R128" s="622"/>
      <c r="U128" s="192"/>
    </row>
    <row r="129" spans="1:21" ht="26.25" customHeight="1" x14ac:dyDescent="0.2">
      <c r="A129" s="195">
        <v>3</v>
      </c>
      <c r="B129" s="147">
        <f>IF($D129="","",VLOOKUP($D129,'Si Q priprema'!$A$11:$F$138,5))</f>
        <v>0</v>
      </c>
      <c r="C129" s="147" t="str">
        <f>IF($D129="","",UPPER(IF(OR(VLOOKUP($D129,'Si Q priprema'!$A$11:$F$138,6)=0,VLOOKUP($D129,'Si Q priprema'!$A$11:$F$138,6)="QA"),"",VLOOKUP($D129,'Si Q priprema'!$A$11:$F$138,6))))</f>
        <v/>
      </c>
      <c r="D129" s="194">
        <v>42</v>
      </c>
      <c r="E129" s="608" t="str">
        <f>IF($D129="","",UPPER(VLOOKUP($D129,'Si Q priprema'!$A$11:$F$138,2))&amp;", "&amp;VLOOKUP($D129,'Si Q priprema'!$A$11:$F$138,3))</f>
        <v>ŠAGOVAC, Erik</v>
      </c>
      <c r="F129" s="609"/>
      <c r="G129" s="196" t="str">
        <f>IF($D129="","",UPPER(VLOOKUP($D129,'Si Q priprema'!$A$11:$F$138,4)))</f>
        <v>PON</v>
      </c>
      <c r="H129" s="183"/>
      <c r="I129" s="610" t="str">
        <f>MID(N125,2,1)&amp;""&amp;MID(N125,1,1)&amp;" "&amp;MID(N125,5,1)&amp;""&amp;MID(N125,4,1)&amp;" "&amp;MID(N125,8,1)&amp;""&amp;MID(N125,7,1)</f>
        <v xml:space="preserve">16 16 </v>
      </c>
      <c r="J129" s="611"/>
      <c r="K129" s="618" t="str">
        <f>MID(N127,2,1)&amp;""&amp;MID(N127,1,1)&amp;" "&amp;MID(N127,5,1)&amp;""&amp;MID(N127,4,1)&amp;" "&amp;MID(N127,8,1)&amp;""&amp;MID(N127,7,1)</f>
        <v>62 26 63</v>
      </c>
      <c r="L129" s="618"/>
      <c r="M129" s="618"/>
      <c r="N129" s="634"/>
      <c r="O129" s="635"/>
      <c r="P129" s="194" t="s">
        <v>502</v>
      </c>
      <c r="Q129" s="662" t="s">
        <v>607</v>
      </c>
      <c r="R129" s="621">
        <v>3</v>
      </c>
      <c r="U129" s="192"/>
    </row>
    <row r="130" spans="1:21" ht="12.75" customHeight="1" x14ac:dyDescent="0.2">
      <c r="A130" s="241"/>
      <c r="B130" s="202"/>
      <c r="C130" s="202"/>
      <c r="D130" s="242"/>
      <c r="E130" s="202"/>
      <c r="F130" s="202"/>
      <c r="G130" s="202"/>
      <c r="H130" s="237"/>
      <c r="I130" s="623" t="s">
        <v>77</v>
      </c>
      <c r="J130" s="624"/>
      <c r="K130" s="623" t="s">
        <v>77</v>
      </c>
      <c r="L130" s="625"/>
      <c r="M130" s="624"/>
      <c r="N130" s="636"/>
      <c r="O130" s="637"/>
      <c r="P130" s="243" t="s">
        <v>77</v>
      </c>
      <c r="Q130" s="244"/>
      <c r="R130" s="622"/>
      <c r="U130" s="192"/>
    </row>
    <row r="131" spans="1:21" ht="26.25" customHeight="1" x14ac:dyDescent="0.2">
      <c r="A131" s="195">
        <v>4</v>
      </c>
      <c r="B131" s="147">
        <f>IF($D131="","",VLOOKUP($D131,'Si Q priprema'!$A$11:$F$138,5))</f>
        <v>85</v>
      </c>
      <c r="C131" s="147" t="str">
        <f>IF($D131="","",UPPER(IF(OR(VLOOKUP($D131,'Si Q priprema'!$A$11:$F$138,6)=0,VLOOKUP($D131,'Si Q priprema'!$A$11:$F$138,6)="QA"),"",VLOOKUP($D131,'Si Q priprema'!$A$11:$F$138,6))))</f>
        <v/>
      </c>
      <c r="D131" s="194">
        <v>14</v>
      </c>
      <c r="E131" s="608" t="str">
        <f>IF($D131="","",UPPER(VLOOKUP($D131,'Si Q priprema'!$A$11:$F$138,2))&amp;", "&amp;VLOOKUP($D131,'Si Q priprema'!$A$11:$F$138,3))</f>
        <v>KARAČIĆ, Vilim</v>
      </c>
      <c r="F131" s="609"/>
      <c r="G131" s="196" t="str">
        <f>IF($D131="","",UPPER(VLOOKUP($D131,'Si Q priprema'!$A$11:$F$138,4)))</f>
        <v>TER</v>
      </c>
      <c r="H131" s="183"/>
      <c r="I131" s="610" t="str">
        <f>MID(P125,2,1)&amp;""&amp;MID(P125,1,1)&amp;" "&amp;MID(P125,5,1)&amp;""&amp;MID(P125,4,1)&amp;" "&amp;MID(P125,8,1)&amp;""&amp;MID(P125,7,1)</f>
        <v>06 64 63</v>
      </c>
      <c r="J131" s="611"/>
      <c r="K131" s="618" t="str">
        <f>MID(P127,2,1)&amp;""&amp;MID(P127,1,1)&amp;" "&amp;MID(P127,5,1)&amp;""&amp;MID(P127,4,1)&amp;" "&amp;MID(P127,8,1)&amp;""&amp;MID(P127,7,1)</f>
        <v xml:space="preserve">61 61 </v>
      </c>
      <c r="L131" s="618"/>
      <c r="M131" s="618"/>
      <c r="N131" s="610" t="str">
        <f>MID(P129,2,1)&amp;""&amp;MID(P129,1,1)&amp;" "&amp;MID(P129,5,1)&amp;""&amp;MID(P129,4,1)&amp;" "&amp;MID(P129,8,1)&amp;""&amp;MID(P129,7,1)</f>
        <v xml:space="preserve">61 62 </v>
      </c>
      <c r="O131" s="611"/>
      <c r="P131" s="619"/>
      <c r="Q131" s="662" t="s">
        <v>605</v>
      </c>
      <c r="R131" s="621">
        <v>1</v>
      </c>
      <c r="S131" s="193"/>
      <c r="U131" s="192"/>
    </row>
    <row r="132" spans="1:21" ht="12.75" customHeight="1" x14ac:dyDescent="0.2">
      <c r="A132" s="241"/>
      <c r="B132" s="202"/>
      <c r="C132" s="202"/>
      <c r="D132" s="242"/>
      <c r="E132" s="202"/>
      <c r="F132" s="202"/>
      <c r="G132" s="202"/>
      <c r="H132" s="237"/>
      <c r="I132" s="623" t="s">
        <v>77</v>
      </c>
      <c r="J132" s="624"/>
      <c r="K132" s="623" t="s">
        <v>77</v>
      </c>
      <c r="L132" s="625"/>
      <c r="M132" s="624"/>
      <c r="N132" s="623" t="s">
        <v>77</v>
      </c>
      <c r="O132" s="624"/>
      <c r="P132" s="620"/>
      <c r="Q132" s="244"/>
      <c r="R132" s="622"/>
      <c r="U132" s="149"/>
    </row>
    <row r="133" spans="1:21" ht="12.75" customHeight="1" x14ac:dyDescent="0.2">
      <c r="A133" s="149"/>
      <c r="B133" s="149"/>
      <c r="C133" s="149"/>
      <c r="D133" s="239"/>
      <c r="E133" s="149"/>
      <c r="F133" s="149"/>
      <c r="G133" s="149"/>
      <c r="H133" s="149"/>
      <c r="I133" s="236"/>
      <c r="J133" s="236"/>
      <c r="K133" s="236"/>
      <c r="L133" s="236"/>
      <c r="M133" s="236"/>
      <c r="N133" s="236"/>
      <c r="O133" s="236"/>
      <c r="P133" s="245"/>
      <c r="Q133" s="149"/>
      <c r="R133" s="246"/>
      <c r="U133" s="149"/>
    </row>
    <row r="134" spans="1:21" ht="12.75" customHeight="1" x14ac:dyDescent="0.2">
      <c r="D134" s="239"/>
      <c r="U134" s="149"/>
    </row>
    <row r="135" spans="1:21" ht="26.25" customHeight="1" x14ac:dyDescent="0.2">
      <c r="A135" s="174" t="s">
        <v>122</v>
      </c>
      <c r="B135" s="190"/>
      <c r="C135" s="190"/>
      <c r="D135" s="239"/>
      <c r="E135" s="193"/>
      <c r="F135" s="193"/>
      <c r="G135" s="191"/>
      <c r="H135" s="25"/>
      <c r="I135" s="638" t="str">
        <f>IF($D136&gt;0,LEFT($E136,FIND(", ",$E136)-1),"")</f>
        <v>ĐEREK</v>
      </c>
      <c r="J135" s="639"/>
      <c r="K135" s="640" t="str">
        <f>IF($D138&gt;0,LEFT($E138,FIND(", ",$E138)-1),"")</f>
        <v>PRGOMET</v>
      </c>
      <c r="L135" s="640"/>
      <c r="M135" s="640"/>
      <c r="N135" s="638" t="str">
        <f>IF($D140&gt;0,LEFT($E140,FIND(", ",$E140)-1),"")</f>
        <v>ANĐELKOVIĆ</v>
      </c>
      <c r="O135" s="639"/>
      <c r="P135" s="129" t="str">
        <f>IF($D142&gt;0,LEFT($E142,FIND(", ",$E142)-1),"")</f>
        <v>POPOVIĆ</v>
      </c>
      <c r="Q135" s="198" t="s">
        <v>119</v>
      </c>
      <c r="R135" s="199" t="s">
        <v>120</v>
      </c>
      <c r="U135" s="149"/>
    </row>
    <row r="136" spans="1:21" ht="26.25" customHeight="1" x14ac:dyDescent="0.2">
      <c r="A136" s="195">
        <v>1</v>
      </c>
      <c r="B136" s="147">
        <f>IF($D136="","",VLOOKUP($D136,'Si Q priprema'!$A$11:$F$138,5))</f>
        <v>69</v>
      </c>
      <c r="C136" s="147" t="str">
        <f>IF($D136="","",UPPER(IF(OR(VLOOKUP($D136,'Si Q priprema'!$A$11:$F$138,6)=0,VLOOKUP($D136,'Si Q priprema'!$A$11:$F$138,6)="QA"),"",VLOOKUP($D136,'Si Q priprema'!$A$11:$F$138,6))))</f>
        <v/>
      </c>
      <c r="D136" s="194">
        <v>10</v>
      </c>
      <c r="E136" s="608" t="str">
        <f>IF($D136="","",UPPER(VLOOKUP($D136,'Si Q priprema'!$A$11:$F$138,2))&amp;", "&amp;VLOOKUP($D136,'Si Q priprema'!$A$11:$F$138,3))</f>
        <v>ĐEREK, Nikola</v>
      </c>
      <c r="F136" s="609"/>
      <c r="G136" s="196" t="str">
        <f>IF($D136="","",UPPER(VLOOKUP($D136,'Si Q priprema'!$A$11:$F$138,4)))</f>
        <v>MDV</v>
      </c>
      <c r="H136" s="208"/>
      <c r="I136" s="634"/>
      <c r="J136" s="635"/>
      <c r="K136" s="632" t="s">
        <v>493</v>
      </c>
      <c r="L136" s="641"/>
      <c r="M136" s="633"/>
      <c r="N136" s="632" t="s">
        <v>493</v>
      </c>
      <c r="O136" s="633"/>
      <c r="P136" s="194" t="s">
        <v>518</v>
      </c>
      <c r="Q136" s="662" t="s">
        <v>605</v>
      </c>
      <c r="R136" s="621">
        <v>1</v>
      </c>
    </row>
    <row r="137" spans="1:21" ht="12.75" customHeight="1" x14ac:dyDescent="0.2">
      <c r="A137" s="241"/>
      <c r="B137" s="202"/>
      <c r="C137" s="202"/>
      <c r="D137" s="242"/>
      <c r="E137" s="202"/>
      <c r="F137" s="202"/>
      <c r="G137" s="202"/>
      <c r="H137" s="202"/>
      <c r="I137" s="636"/>
      <c r="J137" s="637"/>
      <c r="K137" s="623" t="s">
        <v>77</v>
      </c>
      <c r="L137" s="625"/>
      <c r="M137" s="624"/>
      <c r="N137" s="623" t="s">
        <v>77</v>
      </c>
      <c r="O137" s="624"/>
      <c r="P137" s="243" t="s">
        <v>77</v>
      </c>
      <c r="Q137" s="244"/>
      <c r="R137" s="622"/>
    </row>
    <row r="138" spans="1:21" ht="26.25" customHeight="1" x14ac:dyDescent="0.2">
      <c r="A138" s="195">
        <v>2</v>
      </c>
      <c r="B138" s="147">
        <f>IF($D138="","",VLOOKUP($D138,'Si Q priprema'!$A$11:$F$138,5))</f>
        <v>0</v>
      </c>
      <c r="C138" s="147" t="str">
        <f>IF($D138="","",UPPER(IF(OR(VLOOKUP($D138,'Si Q priprema'!$A$11:$F$138,6)=0,VLOOKUP($D138,'Si Q priprema'!$A$11:$F$138,6)="QA"),"",VLOOKUP($D138,'Si Q priprema'!$A$11:$F$138,6))))</f>
        <v/>
      </c>
      <c r="D138" s="194">
        <v>36</v>
      </c>
      <c r="E138" s="608" t="str">
        <f>IF($D138="","",UPPER(VLOOKUP($D138,'Si Q priprema'!$A$11:$F$138,2))&amp;", "&amp;VLOOKUP($D138,'Si Q priprema'!$A$11:$F$138,3))</f>
        <v>PRGOMET, Jakov</v>
      </c>
      <c r="F138" s="609"/>
      <c r="G138" s="196" t="str">
        <f>IF($D138="","",UPPER(VLOOKUP($D138,'Si Q priprema'!$A$11:$F$138,4)))</f>
        <v>ITE</v>
      </c>
      <c r="H138" s="183"/>
      <c r="I138" s="610" t="str">
        <f>MID(K136,2,1)&amp;""&amp;MID(K136,1,1)&amp;" "&amp;MID(K136,5,1)&amp;""&amp;MID(K136,4,1)&amp;" "&amp;MID(K136,8,1)&amp;""&amp;MID(K136,7,1)</f>
        <v xml:space="preserve">06 16 </v>
      </c>
      <c r="J138" s="611"/>
      <c r="K138" s="626"/>
      <c r="L138" s="627"/>
      <c r="M138" s="628"/>
      <c r="N138" s="632" t="s">
        <v>519</v>
      </c>
      <c r="O138" s="633"/>
      <c r="P138" s="194" t="s">
        <v>501</v>
      </c>
      <c r="Q138" s="662" t="s">
        <v>607</v>
      </c>
      <c r="R138" s="621">
        <v>3</v>
      </c>
    </row>
    <row r="139" spans="1:21" ht="12.75" customHeight="1" x14ac:dyDescent="0.2">
      <c r="A139" s="241"/>
      <c r="B139" s="202"/>
      <c r="C139" s="202"/>
      <c r="D139" s="242"/>
      <c r="E139" s="202"/>
      <c r="F139" s="202"/>
      <c r="G139" s="202"/>
      <c r="H139" s="237"/>
      <c r="I139" s="623" t="s">
        <v>77</v>
      </c>
      <c r="J139" s="624"/>
      <c r="K139" s="629"/>
      <c r="L139" s="630"/>
      <c r="M139" s="631"/>
      <c r="N139" s="623" t="s">
        <v>77</v>
      </c>
      <c r="O139" s="624"/>
      <c r="P139" s="243" t="s">
        <v>77</v>
      </c>
      <c r="Q139" s="244"/>
      <c r="R139" s="622"/>
    </row>
    <row r="140" spans="1:21" ht="26.25" customHeight="1" x14ac:dyDescent="0.2">
      <c r="A140" s="195">
        <v>3</v>
      </c>
      <c r="B140" s="147">
        <f>IF($D140="","",VLOOKUP($D140,'Si Q priprema'!$A$11:$F$138,5))</f>
        <v>0</v>
      </c>
      <c r="C140" s="147" t="str">
        <f>IF($D140="","",UPPER(IF(OR(VLOOKUP($D140,'Si Q priprema'!$A$11:$F$138,6)=0,VLOOKUP($D140,'Si Q priprema'!$A$11:$F$138,6)="QA"),"",VLOOKUP($D140,'Si Q priprema'!$A$11:$F$138,6))))</f>
        <v/>
      </c>
      <c r="D140" s="194">
        <v>21</v>
      </c>
      <c r="E140" s="608" t="str">
        <f>IF($D140="","",UPPER(VLOOKUP($D140,'Si Q priprema'!$A$11:$F$138,2))&amp;", "&amp;VLOOKUP($D140,'Si Q priprema'!$A$11:$F$138,3))</f>
        <v>ANĐELKOVIĆ, Tom</v>
      </c>
      <c r="F140" s="609"/>
      <c r="G140" s="196" t="str">
        <f>IF($D140="","",UPPER(VLOOKUP($D140,'Si Q priprema'!$A$11:$F$138,4)))</f>
        <v>ITE</v>
      </c>
      <c r="H140" s="183"/>
      <c r="I140" s="610" t="str">
        <f>MID(N136,2,1)&amp;""&amp;MID(N136,1,1)&amp;" "&amp;MID(N136,5,1)&amp;""&amp;MID(N136,4,1)&amp;" "&amp;MID(N136,8,1)&amp;""&amp;MID(N136,7,1)</f>
        <v xml:space="preserve">06 16 </v>
      </c>
      <c r="J140" s="611"/>
      <c r="K140" s="618" t="s">
        <v>520</v>
      </c>
      <c r="L140" s="618"/>
      <c r="M140" s="618"/>
      <c r="N140" s="634"/>
      <c r="O140" s="635"/>
      <c r="P140" s="194" t="s">
        <v>503</v>
      </c>
      <c r="Q140" s="662" t="s">
        <v>608</v>
      </c>
      <c r="R140" s="621">
        <v>4</v>
      </c>
    </row>
    <row r="141" spans="1:21" ht="12.75" customHeight="1" x14ac:dyDescent="0.2">
      <c r="A141" s="241"/>
      <c r="B141" s="202"/>
      <c r="C141" s="202"/>
      <c r="D141" s="242"/>
      <c r="E141" s="202"/>
      <c r="F141" s="202"/>
      <c r="G141" s="202"/>
      <c r="H141" s="237"/>
      <c r="I141" s="623" t="s">
        <v>77</v>
      </c>
      <c r="J141" s="624"/>
      <c r="K141" s="664" t="s">
        <v>609</v>
      </c>
      <c r="L141" s="665"/>
      <c r="M141" s="666"/>
      <c r="N141" s="636"/>
      <c r="O141" s="637"/>
      <c r="P141" s="243" t="s">
        <v>77</v>
      </c>
      <c r="Q141" s="244"/>
      <c r="R141" s="622"/>
    </row>
    <row r="142" spans="1:21" ht="26.25" customHeight="1" x14ac:dyDescent="0.2">
      <c r="A142" s="195">
        <v>4</v>
      </c>
      <c r="B142" s="147">
        <f>IF($D142="","",VLOOKUP($D142,'Si Q priprema'!$A$11:$F$138,5))</f>
        <v>99</v>
      </c>
      <c r="C142" s="147" t="str">
        <f>IF($D142="","",UPPER(IF(OR(VLOOKUP($D142,'Si Q priprema'!$A$11:$F$138,6)=0,VLOOKUP($D142,'Si Q priprema'!$A$11:$F$138,6)="QA"),"",VLOOKUP($D142,'Si Q priprema'!$A$11:$F$138,6))))</f>
        <v/>
      </c>
      <c r="D142" s="194">
        <v>16</v>
      </c>
      <c r="E142" s="608" t="str">
        <f>IF($D142="","",UPPER(VLOOKUP($D142,'Si Q priprema'!$A$11:$F$138,2))&amp;", "&amp;VLOOKUP($D142,'Si Q priprema'!$A$11:$F$138,3))</f>
        <v>POPOVIĆ, Mario</v>
      </c>
      <c r="F142" s="609"/>
      <c r="G142" s="196" t="str">
        <f>IF($D142="","",UPPER(VLOOKUP($D142,'Si Q priprema'!$A$11:$F$138,4)))</f>
        <v>KVA</v>
      </c>
      <c r="H142" s="183"/>
      <c r="I142" s="610" t="str">
        <f>MID(P136,2,1)&amp;""&amp;MID(P136,1,1)&amp;" "&amp;MID(P136,5,1)&amp;""&amp;MID(P136,4,1)&amp;" "&amp;MID(P136,8,1)&amp;""&amp;MID(P136,7,1)</f>
        <v xml:space="preserve">26 16 </v>
      </c>
      <c r="J142" s="611"/>
      <c r="K142" s="618" t="str">
        <f>MID(P138,2,1)&amp;""&amp;MID(P138,1,1)&amp;" "&amp;MID(P138,5,1)&amp;""&amp;MID(P138,4,1)&amp;" "&amp;MID(P138,8,1)&amp;""&amp;MID(P138,7,1)</f>
        <v xml:space="preserve">63 62 </v>
      </c>
      <c r="L142" s="618"/>
      <c r="M142" s="618"/>
      <c r="N142" s="610" t="str">
        <f>MID(P140,2,1)&amp;""&amp;MID(P140,1,1)&amp;" "&amp;MID(P140,5,1)&amp;""&amp;MID(P140,4,1)&amp;" "&amp;MID(P140,8,1)&amp;""&amp;MID(P140,7,1)</f>
        <v xml:space="preserve">60 60 </v>
      </c>
      <c r="O142" s="611"/>
      <c r="P142" s="619"/>
      <c r="Q142" s="662" t="s">
        <v>606</v>
      </c>
      <c r="R142" s="621">
        <v>2</v>
      </c>
    </row>
    <row r="143" spans="1:21" ht="12.75" customHeight="1" x14ac:dyDescent="0.2">
      <c r="A143" s="241"/>
      <c r="B143" s="202"/>
      <c r="C143" s="202"/>
      <c r="D143" s="242"/>
      <c r="E143" s="202"/>
      <c r="F143" s="202"/>
      <c r="G143" s="202"/>
      <c r="H143" s="237"/>
      <c r="I143" s="623" t="s">
        <v>77</v>
      </c>
      <c r="J143" s="624"/>
      <c r="K143" s="623" t="s">
        <v>77</v>
      </c>
      <c r="L143" s="625"/>
      <c r="M143" s="624"/>
      <c r="N143" s="623" t="s">
        <v>77</v>
      </c>
      <c r="O143" s="624"/>
      <c r="P143" s="620"/>
      <c r="Q143" s="244"/>
      <c r="R143" s="622"/>
    </row>
    <row r="144" spans="1:21" ht="12.75" customHeight="1" x14ac:dyDescent="0.2">
      <c r="A144" s="149"/>
      <c r="B144" s="149"/>
      <c r="C144" s="149"/>
      <c r="D144" s="239"/>
      <c r="E144" s="149"/>
      <c r="F144" s="149"/>
      <c r="G144" s="149"/>
      <c r="H144" s="149"/>
      <c r="I144" s="236"/>
      <c r="J144" s="236"/>
      <c r="K144" s="236"/>
      <c r="L144" s="236"/>
      <c r="M144" s="236"/>
      <c r="N144" s="236"/>
      <c r="O144" s="236"/>
      <c r="P144" s="245"/>
      <c r="Q144" s="149"/>
      <c r="R144" s="246"/>
    </row>
    <row r="145" spans="1:18" ht="12.75" customHeight="1" x14ac:dyDescent="0.2">
      <c r="D145" s="239"/>
    </row>
    <row r="146" spans="1:18" ht="26.25" customHeight="1" x14ac:dyDescent="0.2">
      <c r="A146" s="174" t="s">
        <v>123</v>
      </c>
      <c r="B146" s="190"/>
      <c r="C146" s="190"/>
      <c r="D146" s="239"/>
      <c r="E146" s="193"/>
      <c r="F146" s="193"/>
      <c r="G146" s="191"/>
      <c r="H146" s="25"/>
      <c r="I146" s="638" t="str">
        <f>IF($D147&gt;0,LEFT($E147,FIND(", ",$E147)-1),"")</f>
        <v>ŠANTIĆ</v>
      </c>
      <c r="J146" s="639"/>
      <c r="K146" s="640" t="str">
        <f>IF($D149&gt;0,LEFT($E149,FIND(", ",$E149)-1),"")</f>
        <v>MARTINOVIĆ</v>
      </c>
      <c r="L146" s="640"/>
      <c r="M146" s="640"/>
      <c r="N146" s="638" t="str">
        <f>IF($D151&gt;0,LEFT($E151,FIND(", ",$E151)-1),"")</f>
        <v>GRDINIĆ</v>
      </c>
      <c r="O146" s="639"/>
      <c r="P146" s="129" t="str">
        <f>IF($D153&gt;0,LEFT($E153,FIND(", ",$E153)-1),"")</f>
        <v>MUŠOVIĆ</v>
      </c>
      <c r="Q146" s="198" t="s">
        <v>119</v>
      </c>
      <c r="R146" s="199" t="s">
        <v>120</v>
      </c>
    </row>
    <row r="147" spans="1:18" ht="26.25" customHeight="1" x14ac:dyDescent="0.2">
      <c r="A147" s="195">
        <v>1</v>
      </c>
      <c r="B147" s="147">
        <f>IF($D147="","",VLOOKUP($D147,'Si Q priprema'!$A$11:$F$138,5))</f>
        <v>72</v>
      </c>
      <c r="C147" s="147" t="str">
        <f>IF($D147="","",UPPER(IF(OR(VLOOKUP($D147,'Si Q priprema'!$A$11:$F$138,6)=0,VLOOKUP($D147,'Si Q priprema'!$A$11:$F$138,6)="QA"),"",VLOOKUP($D147,'Si Q priprema'!$A$11:$F$138,6))))</f>
        <v/>
      </c>
      <c r="D147" s="194">
        <v>11</v>
      </c>
      <c r="E147" s="608" t="str">
        <f>IF($D147="","",UPPER(VLOOKUP($D147,'Si Q priprema'!$A$11:$F$138,2))&amp;", "&amp;VLOOKUP($D147,'Si Q priprema'!$A$11:$F$138,3))</f>
        <v>ŠANTIĆ, Leopold</v>
      </c>
      <c r="F147" s="609"/>
      <c r="G147" s="196" t="str">
        <f>IF($D147="","",UPPER(VLOOKUP($D147,'Si Q priprema'!$A$11:$F$138,4)))</f>
        <v>DID</v>
      </c>
      <c r="H147" s="208"/>
      <c r="I147" s="634"/>
      <c r="J147" s="635"/>
      <c r="K147" s="632" t="s">
        <v>505</v>
      </c>
      <c r="L147" s="641"/>
      <c r="M147" s="633"/>
      <c r="N147" s="632" t="s">
        <v>489</v>
      </c>
      <c r="O147" s="633"/>
      <c r="P147" s="194" t="s">
        <v>495</v>
      </c>
      <c r="Q147" s="662" t="s">
        <v>605</v>
      </c>
      <c r="R147" s="621">
        <v>1</v>
      </c>
    </row>
    <row r="148" spans="1:18" ht="12.75" customHeight="1" x14ac:dyDescent="0.2">
      <c r="A148" s="241"/>
      <c r="B148" s="202"/>
      <c r="C148" s="202"/>
      <c r="D148" s="242"/>
      <c r="E148" s="202"/>
      <c r="F148" s="202"/>
      <c r="G148" s="202"/>
      <c r="H148" s="202"/>
      <c r="I148" s="636"/>
      <c r="J148" s="637"/>
      <c r="K148" s="623" t="s">
        <v>77</v>
      </c>
      <c r="L148" s="625"/>
      <c r="M148" s="624"/>
      <c r="N148" s="623" t="s">
        <v>77</v>
      </c>
      <c r="O148" s="624"/>
      <c r="P148" s="243" t="s">
        <v>77</v>
      </c>
      <c r="Q148" s="244"/>
      <c r="R148" s="622"/>
    </row>
    <row r="149" spans="1:18" ht="26.25" customHeight="1" x14ac:dyDescent="0.2">
      <c r="A149" s="195">
        <v>2</v>
      </c>
      <c r="B149" s="147">
        <f>IF($D149="","",VLOOKUP($D149,'Si Q priprema'!$A$11:$F$138,5))</f>
        <v>0</v>
      </c>
      <c r="C149" s="147" t="str">
        <f>IF($D149="","",UPPER(IF(OR(VLOOKUP($D149,'Si Q priprema'!$A$11:$F$138,6)=0,VLOOKUP($D149,'Si Q priprema'!$A$11:$F$138,6)="QA"),"",VLOOKUP($D149,'Si Q priprema'!$A$11:$F$138,6))))</f>
        <v/>
      </c>
      <c r="D149" s="194">
        <v>34</v>
      </c>
      <c r="E149" s="608" t="str">
        <f>IF($D149="","",UPPER(VLOOKUP($D149,'Si Q priprema'!$A$11:$F$138,2))&amp;", "&amp;VLOOKUP($D149,'Si Q priprema'!$A$11:$F$138,3))</f>
        <v>MARTINOVIĆ, Fran</v>
      </c>
      <c r="F149" s="609"/>
      <c r="G149" s="196" t="str">
        <f>IF($D149="","",UPPER(VLOOKUP($D149,'Si Q priprema'!$A$11:$F$138,4)))</f>
        <v>HRJ</v>
      </c>
      <c r="H149" s="183"/>
      <c r="I149" s="610" t="str">
        <f>MID(K147,2,1)&amp;""&amp;MID(K147,1,1)&amp;" "&amp;MID(K147,5,1)&amp;""&amp;MID(K147,4,1)&amp;" "&amp;MID(K147,8,1)&amp;""&amp;MID(K147,7,1)</f>
        <v xml:space="preserve">06 36 </v>
      </c>
      <c r="J149" s="611"/>
      <c r="K149" s="626"/>
      <c r="L149" s="627"/>
      <c r="M149" s="628"/>
      <c r="N149" s="632" t="s">
        <v>515</v>
      </c>
      <c r="O149" s="633"/>
      <c r="P149" s="194" t="s">
        <v>542</v>
      </c>
      <c r="Q149" s="662" t="s">
        <v>607</v>
      </c>
      <c r="R149" s="621">
        <v>3</v>
      </c>
    </row>
    <row r="150" spans="1:18" ht="12.75" customHeight="1" x14ac:dyDescent="0.2">
      <c r="A150" s="241"/>
      <c r="B150" s="202"/>
      <c r="C150" s="202"/>
      <c r="D150" s="242"/>
      <c r="E150" s="202"/>
      <c r="F150" s="202"/>
      <c r="G150" s="202"/>
      <c r="H150" s="237"/>
      <c r="I150" s="623" t="s">
        <v>77</v>
      </c>
      <c r="J150" s="624"/>
      <c r="K150" s="629"/>
      <c r="L150" s="630"/>
      <c r="M150" s="631"/>
      <c r="N150" s="623" t="s">
        <v>77</v>
      </c>
      <c r="O150" s="624"/>
      <c r="P150" s="243" t="s">
        <v>77</v>
      </c>
      <c r="Q150" s="244"/>
      <c r="R150" s="622"/>
    </row>
    <row r="151" spans="1:18" ht="26.25" customHeight="1" x14ac:dyDescent="0.2">
      <c r="A151" s="195">
        <v>3</v>
      </c>
      <c r="B151" s="147">
        <f>IF($D151="","",VLOOKUP($D151,'Si Q priprema'!$A$11:$F$138,5))</f>
        <v>0</v>
      </c>
      <c r="C151" s="147" t="str">
        <f>IF($D151="","",UPPER(IF(OR(VLOOKUP($D151,'Si Q priprema'!$A$11:$F$138,6)=0,VLOOKUP($D151,'Si Q priprema'!$A$11:$F$138,6)="QA"),"",VLOOKUP($D151,'Si Q priprema'!$A$11:$F$138,6))))</f>
        <v/>
      </c>
      <c r="D151" s="194">
        <v>26</v>
      </c>
      <c r="E151" s="608" t="str">
        <f>IF($D151="","",UPPER(VLOOKUP($D151,'Si Q priprema'!$A$11:$F$138,2))&amp;", "&amp;VLOOKUP($D151,'Si Q priprema'!$A$11:$F$138,3))</f>
        <v>GRDINIĆ, Maks Zvonimir</v>
      </c>
      <c r="F151" s="609"/>
      <c r="G151" s="196" t="str">
        <f>IF($D151="","",UPPER(VLOOKUP($D151,'Si Q priprema'!$A$11:$F$138,4)))</f>
        <v>ITE</v>
      </c>
      <c r="H151" s="183"/>
      <c r="I151" s="610" t="str">
        <f>MID(N147,2,1)&amp;""&amp;MID(N147,1,1)&amp;" "&amp;MID(N147,5,1)&amp;""&amp;MID(N147,4,1)&amp;" "&amp;MID(N147,8,1)&amp;""&amp;MID(N147,7,1)</f>
        <v xml:space="preserve">06 06 </v>
      </c>
      <c r="J151" s="611"/>
      <c r="K151" s="618" t="str">
        <f>MID(N149,2,1)&amp;""&amp;MID(N149,1,1)&amp;" "&amp;MID(N149,5,1)&amp;""&amp;MID(N149,4,1)&amp;" "&amp;MID(N149,8,1)&amp;""&amp;MID(N149,7,1)</f>
        <v xml:space="preserve">06 26 </v>
      </c>
      <c r="L151" s="618"/>
      <c r="M151" s="618"/>
      <c r="N151" s="634"/>
      <c r="O151" s="635"/>
      <c r="P151" s="194" t="s">
        <v>503</v>
      </c>
      <c r="Q151" s="662" t="s">
        <v>608</v>
      </c>
      <c r="R151" s="621">
        <v>4</v>
      </c>
    </row>
    <row r="152" spans="1:18" ht="12.75" customHeight="1" x14ac:dyDescent="0.2">
      <c r="A152" s="241"/>
      <c r="B152" s="202"/>
      <c r="C152" s="202"/>
      <c r="D152" s="242"/>
      <c r="E152" s="202"/>
      <c r="F152" s="202"/>
      <c r="G152" s="202"/>
      <c r="H152" s="237"/>
      <c r="I152" s="623" t="s">
        <v>77</v>
      </c>
      <c r="J152" s="624"/>
      <c r="K152" s="623" t="s">
        <v>77</v>
      </c>
      <c r="L152" s="625"/>
      <c r="M152" s="624"/>
      <c r="N152" s="636"/>
      <c r="O152" s="637"/>
      <c r="P152" s="243" t="s">
        <v>77</v>
      </c>
      <c r="Q152" s="244"/>
      <c r="R152" s="622"/>
    </row>
    <row r="153" spans="1:18" ht="26.25" customHeight="1" x14ac:dyDescent="0.2">
      <c r="A153" s="195">
        <v>4</v>
      </c>
      <c r="B153" s="147">
        <f>IF($D153="","",VLOOKUP($D153,'Si Q priprema'!$A$11:$F$138,5))</f>
        <v>105</v>
      </c>
      <c r="C153" s="147" t="str">
        <f>IF($D153="","",UPPER(IF(OR(VLOOKUP($D153,'Si Q priprema'!$A$11:$F$138,6)=0,VLOOKUP($D153,'Si Q priprema'!$A$11:$F$138,6)="QA"),"",VLOOKUP($D153,'Si Q priprema'!$A$11:$F$138,6))))</f>
        <v/>
      </c>
      <c r="D153" s="194">
        <v>20</v>
      </c>
      <c r="E153" s="608" t="str">
        <f>IF($D153="","",UPPER(VLOOKUP($D153,'Si Q priprema'!$A$11:$F$138,2))&amp;", "&amp;VLOOKUP($D153,'Si Q priprema'!$A$11:$F$138,3))</f>
        <v>MUŠOVIĆ, Denis</v>
      </c>
      <c r="F153" s="609"/>
      <c r="G153" s="196" t="str">
        <f>IF($D153="","",UPPER(VLOOKUP($D153,'Si Q priprema'!$A$11:$F$138,4)))</f>
        <v>VUL</v>
      </c>
      <c r="H153" s="183"/>
      <c r="I153" s="610" t="str">
        <f>MID(P147,2,1)&amp;""&amp;MID(P147,1,1)&amp;" "&amp;MID(P147,5,1)&amp;""&amp;MID(P147,4,1)&amp;" "&amp;MID(P147,8,1)&amp;""&amp;MID(P147,7,1)</f>
        <v xml:space="preserve">16 06 </v>
      </c>
      <c r="J153" s="611"/>
      <c r="K153" s="618" t="str">
        <f>MID(P149,2,1)&amp;""&amp;MID(P149,1,1)&amp;" "&amp;MID(P149,5,1)&amp;""&amp;MID(P149,4,1)&amp;" "&amp;MID(P149,8,1)&amp;""&amp;MID(P149,7,1)</f>
        <v>75 16 75</v>
      </c>
      <c r="L153" s="618"/>
      <c r="M153" s="618"/>
      <c r="N153" s="610" t="str">
        <f>MID(P151,2,1)&amp;""&amp;MID(P151,1,1)&amp;" "&amp;MID(P151,5,1)&amp;""&amp;MID(P151,4,1)&amp;" "&amp;MID(P151,8,1)&amp;""&amp;MID(P151,7,1)</f>
        <v xml:space="preserve">60 60 </v>
      </c>
      <c r="O153" s="611"/>
      <c r="P153" s="619"/>
      <c r="Q153" s="662" t="s">
        <v>606</v>
      </c>
      <c r="R153" s="621">
        <v>2</v>
      </c>
    </row>
    <row r="154" spans="1:18" ht="12.75" customHeight="1" x14ac:dyDescent="0.2">
      <c r="A154" s="241"/>
      <c r="B154" s="202"/>
      <c r="C154" s="202"/>
      <c r="D154" s="242"/>
      <c r="E154" s="202"/>
      <c r="F154" s="202"/>
      <c r="G154" s="202"/>
      <c r="H154" s="237"/>
      <c r="I154" s="623" t="s">
        <v>77</v>
      </c>
      <c r="J154" s="624"/>
      <c r="K154" s="623" t="s">
        <v>77</v>
      </c>
      <c r="L154" s="625"/>
      <c r="M154" s="624"/>
      <c r="N154" s="623" t="s">
        <v>77</v>
      </c>
      <c r="O154" s="624"/>
      <c r="P154" s="620"/>
      <c r="Q154" s="244"/>
      <c r="R154" s="622"/>
    </row>
    <row r="155" spans="1:18" ht="12.75" customHeight="1" x14ac:dyDescent="0.2">
      <c r="A155" s="149"/>
      <c r="B155" s="149"/>
      <c r="C155" s="149"/>
      <c r="D155" s="239"/>
      <c r="E155" s="149"/>
      <c r="F155" s="149"/>
      <c r="G155" s="149"/>
      <c r="H155" s="149"/>
      <c r="I155" s="236"/>
      <c r="J155" s="236"/>
      <c r="K155" s="236"/>
      <c r="L155" s="236"/>
      <c r="M155" s="236"/>
      <c r="N155" s="236"/>
      <c r="O155" s="236"/>
      <c r="P155" s="245"/>
      <c r="Q155" s="149"/>
      <c r="R155" s="246"/>
    </row>
    <row r="156" spans="1:18" ht="12.75" customHeight="1" x14ac:dyDescent="0.2">
      <c r="D156" s="239"/>
    </row>
    <row r="157" spans="1:18" ht="26.25" customHeight="1" x14ac:dyDescent="0.2">
      <c r="A157" s="174" t="s">
        <v>124</v>
      </c>
      <c r="B157" s="190"/>
      <c r="C157" s="190"/>
      <c r="D157" s="239"/>
      <c r="E157" s="193"/>
      <c r="F157" s="193"/>
      <c r="G157" s="191"/>
      <c r="H157" s="25"/>
      <c r="I157" s="638" t="str">
        <f>IF($D158&gt;0,LEFT($E158,FIND(", ",$E158)-1),"")</f>
        <v/>
      </c>
      <c r="J157" s="639"/>
      <c r="K157" s="640" t="str">
        <f>IF($D160&gt;0,LEFT($E160,FIND(", ",$E160)-1),"")</f>
        <v/>
      </c>
      <c r="L157" s="640"/>
      <c r="M157" s="640"/>
      <c r="N157" s="638" t="str">
        <f>IF($D162&gt;0,LEFT($E162,FIND(", ",$E162)-1),"")</f>
        <v/>
      </c>
      <c r="O157" s="639"/>
      <c r="P157" s="129" t="str">
        <f>IF($D164&gt;0,LEFT($E164,FIND(", ",$E164)-1),"")</f>
        <v/>
      </c>
      <c r="Q157" s="198" t="s">
        <v>119</v>
      </c>
      <c r="R157" s="199" t="s">
        <v>120</v>
      </c>
    </row>
    <row r="158" spans="1:18" ht="26.25" customHeight="1" x14ac:dyDescent="0.2">
      <c r="A158" s="195">
        <v>1</v>
      </c>
      <c r="B158" s="147" t="str">
        <f>IF($D158="","",VLOOKUP($D158,'Si Q priprema'!$A$11:$F$138,5))</f>
        <v/>
      </c>
      <c r="C158" s="147" t="str">
        <f>IF($D158="","",UPPER(IF(OR(VLOOKUP($D158,'Si Q priprema'!$A$11:$F$138,6)=0,VLOOKUP($D158,'Si Q priprema'!$A$11:$F$138,6)="QA"),"",VLOOKUP($D158,'Si Q priprema'!$A$11:$F$138,6))))</f>
        <v/>
      </c>
      <c r="D158" s="194"/>
      <c r="E158" s="608" t="str">
        <f>IF($D158="","",UPPER(VLOOKUP($D158,'Si Q priprema'!$A$11:$F$138,2))&amp;", "&amp;VLOOKUP($D158,'Si Q priprema'!$A$11:$F$138,3))</f>
        <v/>
      </c>
      <c r="F158" s="609"/>
      <c r="G158" s="196" t="str">
        <f>IF($D158="","",UPPER(VLOOKUP($D158,'Si Q priprema'!$A$11:$F$138,4)))</f>
        <v/>
      </c>
      <c r="H158" s="208"/>
      <c r="I158" s="634"/>
      <c r="J158" s="635"/>
      <c r="K158" s="632"/>
      <c r="L158" s="641"/>
      <c r="M158" s="633"/>
      <c r="N158" s="632"/>
      <c r="O158" s="633"/>
      <c r="P158" s="194"/>
      <c r="Q158" s="240"/>
      <c r="R158" s="621"/>
    </row>
    <row r="159" spans="1:18" ht="12.75" customHeight="1" x14ac:dyDescent="0.2">
      <c r="A159" s="241"/>
      <c r="B159" s="202"/>
      <c r="C159" s="202"/>
      <c r="D159" s="242"/>
      <c r="E159" s="202"/>
      <c r="F159" s="202"/>
      <c r="G159" s="202"/>
      <c r="H159" s="202"/>
      <c r="I159" s="636"/>
      <c r="J159" s="637"/>
      <c r="K159" s="623" t="s">
        <v>77</v>
      </c>
      <c r="L159" s="625"/>
      <c r="M159" s="624"/>
      <c r="N159" s="623" t="s">
        <v>77</v>
      </c>
      <c r="O159" s="624"/>
      <c r="P159" s="243" t="s">
        <v>77</v>
      </c>
      <c r="Q159" s="244"/>
      <c r="R159" s="622"/>
    </row>
    <row r="160" spans="1:18" ht="26.25" customHeight="1" x14ac:dyDescent="0.2">
      <c r="A160" s="195">
        <v>2</v>
      </c>
      <c r="B160" s="147" t="str">
        <f>IF($D160="","",VLOOKUP($D160,'Si Q priprema'!$A$11:$F$138,5))</f>
        <v/>
      </c>
      <c r="C160" s="147" t="str">
        <f>IF($D160="","",UPPER(IF(OR(VLOOKUP($D160,'Si Q priprema'!$A$11:$F$138,6)=0,VLOOKUP($D160,'Si Q priprema'!$A$11:$F$138,6)="QA"),"",VLOOKUP($D160,'Si Q priprema'!$A$11:$F$138,6))))</f>
        <v/>
      </c>
      <c r="D160" s="194"/>
      <c r="E160" s="608" t="str">
        <f>IF($D160="","",UPPER(VLOOKUP($D160,'Si Q priprema'!$A$11:$F$138,2))&amp;", "&amp;VLOOKUP($D160,'Si Q priprema'!$A$11:$F$138,3))</f>
        <v/>
      </c>
      <c r="F160" s="609"/>
      <c r="G160" s="196" t="str">
        <f>IF($D160="","",UPPER(VLOOKUP($D160,'Si Q priprema'!$A$11:$F$138,4)))</f>
        <v/>
      </c>
      <c r="H160" s="183"/>
      <c r="I160" s="610" t="str">
        <f>MID(K158,2,1)&amp;""&amp;MID(K158,1,1)&amp;" "&amp;MID(K158,5,1)&amp;""&amp;MID(K158,4,1)&amp;" "&amp;MID(K158,8,1)&amp;""&amp;MID(K158,7,1)</f>
        <v xml:space="preserve">  </v>
      </c>
      <c r="J160" s="611"/>
      <c r="K160" s="626"/>
      <c r="L160" s="627"/>
      <c r="M160" s="628"/>
      <c r="N160" s="632"/>
      <c r="O160" s="633"/>
      <c r="P160" s="194"/>
      <c r="Q160" s="240"/>
      <c r="R160" s="621"/>
    </row>
    <row r="161" spans="1:18" ht="12.75" customHeight="1" x14ac:dyDescent="0.2">
      <c r="A161" s="241"/>
      <c r="B161" s="202"/>
      <c r="C161" s="202"/>
      <c r="D161" s="242"/>
      <c r="E161" s="202"/>
      <c r="F161" s="202"/>
      <c r="G161" s="202"/>
      <c r="H161" s="237"/>
      <c r="I161" s="623" t="s">
        <v>77</v>
      </c>
      <c r="J161" s="624"/>
      <c r="K161" s="629"/>
      <c r="L161" s="630"/>
      <c r="M161" s="631"/>
      <c r="N161" s="623" t="s">
        <v>77</v>
      </c>
      <c r="O161" s="624"/>
      <c r="P161" s="243" t="s">
        <v>77</v>
      </c>
      <c r="Q161" s="244"/>
      <c r="R161" s="622"/>
    </row>
    <row r="162" spans="1:18" ht="26.25" customHeight="1" x14ac:dyDescent="0.2">
      <c r="A162" s="195">
        <v>3</v>
      </c>
      <c r="B162" s="147" t="str">
        <f>IF($D162="","",VLOOKUP($D162,'Si Q priprema'!$A$11:$F$138,5))</f>
        <v/>
      </c>
      <c r="C162" s="147" t="str">
        <f>IF($D162="","",UPPER(IF(OR(VLOOKUP($D162,'Si Q priprema'!$A$11:$F$138,6)=0,VLOOKUP($D162,'Si Q priprema'!$A$11:$F$138,6)="QA"),"",VLOOKUP($D162,'Si Q priprema'!$A$11:$F$138,6))))</f>
        <v/>
      </c>
      <c r="D162" s="194"/>
      <c r="E162" s="608" t="str">
        <f>IF($D162="","",UPPER(VLOOKUP($D162,'Si Q priprema'!$A$11:$F$138,2))&amp;", "&amp;VLOOKUP($D162,'Si Q priprema'!$A$11:$F$138,3))</f>
        <v/>
      </c>
      <c r="F162" s="609"/>
      <c r="G162" s="196" t="str">
        <f>IF($D162="","",UPPER(VLOOKUP($D162,'Si Q priprema'!$A$11:$F$138,4)))</f>
        <v/>
      </c>
      <c r="H162" s="183"/>
      <c r="I162" s="610" t="str">
        <f>MID(N158,2,1)&amp;""&amp;MID(N158,1,1)&amp;" "&amp;MID(N158,5,1)&amp;""&amp;MID(N158,4,1)&amp;" "&amp;MID(N158,8,1)&amp;""&amp;MID(N158,7,1)</f>
        <v xml:space="preserve">  </v>
      </c>
      <c r="J162" s="611"/>
      <c r="K162" s="618" t="str">
        <f>MID(N160,2,1)&amp;""&amp;MID(N160,1,1)&amp;" "&amp;MID(N160,5,1)&amp;""&amp;MID(N160,4,1)&amp;" "&amp;MID(N160,8,1)&amp;""&amp;MID(N160,7,1)</f>
        <v xml:space="preserve">  </v>
      </c>
      <c r="L162" s="618"/>
      <c r="M162" s="618"/>
      <c r="N162" s="634"/>
      <c r="O162" s="635"/>
      <c r="P162" s="194"/>
      <c r="Q162" s="240"/>
      <c r="R162" s="621"/>
    </row>
    <row r="163" spans="1:18" ht="12.75" customHeight="1" x14ac:dyDescent="0.2">
      <c r="A163" s="241"/>
      <c r="B163" s="202"/>
      <c r="C163" s="202"/>
      <c r="D163" s="242"/>
      <c r="E163" s="202"/>
      <c r="F163" s="202"/>
      <c r="G163" s="202"/>
      <c r="H163" s="237"/>
      <c r="I163" s="623" t="s">
        <v>77</v>
      </c>
      <c r="J163" s="624"/>
      <c r="K163" s="623" t="s">
        <v>77</v>
      </c>
      <c r="L163" s="625"/>
      <c r="M163" s="624"/>
      <c r="N163" s="636"/>
      <c r="O163" s="637"/>
      <c r="P163" s="243" t="s">
        <v>77</v>
      </c>
      <c r="Q163" s="244"/>
      <c r="R163" s="622"/>
    </row>
    <row r="164" spans="1:18" ht="26.25" customHeight="1" x14ac:dyDescent="0.2">
      <c r="A164" s="195">
        <v>4</v>
      </c>
      <c r="B164" s="147" t="str">
        <f>IF($D164="","",VLOOKUP($D164,'Si Q priprema'!$A$11:$F$138,5))</f>
        <v/>
      </c>
      <c r="C164" s="147" t="str">
        <f>IF($D164="","",UPPER(IF(OR(VLOOKUP($D164,'Si Q priprema'!$A$11:$F$138,6)=0,VLOOKUP($D164,'Si Q priprema'!$A$11:$F$138,6)="QA"),"",VLOOKUP($D164,'Si Q priprema'!$A$11:$F$138,6))))</f>
        <v/>
      </c>
      <c r="D164" s="194"/>
      <c r="E164" s="608" t="str">
        <f>IF($D164="","",UPPER(VLOOKUP($D164,'Si Q priprema'!$A$11:$F$138,2))&amp;", "&amp;VLOOKUP($D164,'Si Q priprema'!$A$11:$F$138,3))</f>
        <v/>
      </c>
      <c r="F164" s="609"/>
      <c r="G164" s="196" t="str">
        <f>IF($D164="","",UPPER(VLOOKUP($D164,'Si Q priprema'!$A$11:$F$138,4)))</f>
        <v/>
      </c>
      <c r="H164" s="183"/>
      <c r="I164" s="610" t="str">
        <f>MID(P158,2,1)&amp;""&amp;MID(P158,1,1)&amp;" "&amp;MID(P158,5,1)&amp;""&amp;MID(P158,4,1)&amp;" "&amp;MID(P158,8,1)&amp;""&amp;MID(P158,7,1)</f>
        <v xml:space="preserve">  </v>
      </c>
      <c r="J164" s="611"/>
      <c r="K164" s="618" t="str">
        <f>MID(P160,2,1)&amp;""&amp;MID(P160,1,1)&amp;" "&amp;MID(P160,5,1)&amp;""&amp;MID(P160,4,1)&amp;" "&amp;MID(P160,8,1)&amp;""&amp;MID(P160,7,1)</f>
        <v xml:space="preserve">  </v>
      </c>
      <c r="L164" s="618"/>
      <c r="M164" s="618"/>
      <c r="N164" s="610" t="str">
        <f>MID(P162,2,1)&amp;""&amp;MID(P162,1,1)&amp;" "&amp;MID(P162,5,1)&amp;""&amp;MID(P162,4,1)&amp;" "&amp;MID(P162,8,1)&amp;""&amp;MID(P162,7,1)</f>
        <v xml:space="preserve">  </v>
      </c>
      <c r="O164" s="611"/>
      <c r="P164" s="619"/>
      <c r="Q164" s="240"/>
      <c r="R164" s="621"/>
    </row>
    <row r="165" spans="1:18" ht="12.75" customHeight="1" x14ac:dyDescent="0.2">
      <c r="A165" s="241"/>
      <c r="B165" s="202"/>
      <c r="C165" s="202"/>
      <c r="D165" s="242"/>
      <c r="E165" s="202"/>
      <c r="F165" s="202"/>
      <c r="G165" s="202"/>
      <c r="H165" s="237"/>
      <c r="I165" s="623" t="s">
        <v>77</v>
      </c>
      <c r="J165" s="624"/>
      <c r="K165" s="623" t="s">
        <v>77</v>
      </c>
      <c r="L165" s="625"/>
      <c r="M165" s="624"/>
      <c r="N165" s="623" t="s">
        <v>77</v>
      </c>
      <c r="O165" s="624"/>
      <c r="P165" s="620"/>
      <c r="Q165" s="244"/>
      <c r="R165" s="622"/>
    </row>
    <row r="166" spans="1:18" ht="12.75" customHeight="1" x14ac:dyDescent="0.2"/>
    <row r="167" spans="1:18" ht="12.75" customHeight="1" x14ac:dyDescent="0.2">
      <c r="A167" s="30"/>
      <c r="B167" s="13"/>
      <c r="C167" s="13"/>
      <c r="D167" s="13"/>
      <c r="E167" s="13"/>
      <c r="F167" s="13"/>
      <c r="G167" s="13"/>
      <c r="H167" s="13"/>
      <c r="I167" s="13"/>
      <c r="J167" s="13"/>
      <c r="K167" s="13"/>
      <c r="L167" s="13"/>
      <c r="M167" s="13"/>
      <c r="N167" s="13"/>
      <c r="O167" s="13"/>
      <c r="P167" s="13"/>
      <c r="Q167" s="13"/>
      <c r="R167" s="37"/>
    </row>
    <row r="168" spans="1:18" ht="12" customHeight="1" x14ac:dyDescent="0.2">
      <c r="A168" s="44" t="s">
        <v>76</v>
      </c>
      <c r="B168" s="45"/>
      <c r="C168" s="46"/>
      <c r="D168" s="47" t="s">
        <v>14</v>
      </c>
      <c r="E168" s="45" t="s">
        <v>15</v>
      </c>
      <c r="F168" s="48"/>
      <c r="G168" s="48"/>
      <c r="H168" s="48"/>
      <c r="I168" s="46"/>
      <c r="J168" s="49" t="s">
        <v>14</v>
      </c>
      <c r="K168" s="172" t="s">
        <v>109</v>
      </c>
      <c r="L168" s="50"/>
      <c r="M168" s="50"/>
      <c r="N168" s="45"/>
      <c r="O168" s="44" t="s">
        <v>16</v>
      </c>
      <c r="P168" s="203"/>
      <c r="Q168" s="614" t="str">
        <f>$Q$54</f>
        <v xml:space="preserve">22.04.2016./8:20 h </v>
      </c>
      <c r="R168" s="615"/>
    </row>
    <row r="169" spans="1:18" ht="12" customHeight="1" x14ac:dyDescent="0.2">
      <c r="A169" s="51" t="s">
        <v>17</v>
      </c>
      <c r="B169" s="52"/>
      <c r="C169" s="53"/>
      <c r="D169" s="54">
        <v>17</v>
      </c>
      <c r="E169" s="169" t="str">
        <f>IF(VLOOKUP($D169,'Si Q priprema'!$A$11:$G$50,5)&gt;0,UPPER(VLOOKUP($D169,'Si Q priprema'!$A$11:$G$50,2))&amp;", "&amp;(VLOOKUP($D169,'Si Q priprema'!$A$11:$G$50,3))&amp;" ["&amp;(VLOOKUP($D169,'Si Q priprema'!$A$11:$G$50,5))&amp;"]","")</f>
        <v>BULOVIĆ, Matija [105]</v>
      </c>
      <c r="F169" s="54">
        <v>25</v>
      </c>
      <c r="G169" s="616" t="str">
        <f>IF(VLOOKUP($F169,'Si Q priprema'!$A$11:$G$50,5)&gt;0,UPPER(VLOOKUP($F169,'Si Q priprema'!$A$11:$G$50,2))&amp;", "&amp;(VLOOKUP($F169,'Si Q priprema'!$A$11:$G$50,3))&amp;" ["&amp;(VLOOKUP($F169,'Si Q priprema'!$A$11:$G$50,5))&amp;"]","")</f>
        <v/>
      </c>
      <c r="H169" s="616"/>
      <c r="I169" s="617"/>
      <c r="J169" s="57">
        <v>1</v>
      </c>
      <c r="K169" s="58">
        <f>K55</f>
        <v>0</v>
      </c>
      <c r="L169" s="58"/>
      <c r="M169" s="58"/>
      <c r="N169" s="58"/>
      <c r="O169" s="200" t="s">
        <v>19</v>
      </c>
      <c r="Q169" s="52"/>
      <c r="R169" s="60"/>
    </row>
    <row r="170" spans="1:18" ht="12" customHeight="1" x14ac:dyDescent="0.2">
      <c r="A170" s="603" t="str">
        <f>Pocetna!$B$14</f>
        <v>01.04.2016.</v>
      </c>
      <c r="B170" s="604"/>
      <c r="C170" s="605"/>
      <c r="D170" s="54">
        <v>18</v>
      </c>
      <c r="E170" s="169" t="str">
        <f>IF(VLOOKUP($D170,'Si Q priprema'!$A$11:$G$50,5)&gt;0,UPPER(VLOOKUP($D170,'Si Q priprema'!$A$11:$G$50,2))&amp;", "&amp;(VLOOKUP($D170,'Si Q priprema'!$A$11:$G$50,3))&amp;" ["&amp;(VLOOKUP($D170,'Si Q priprema'!$A$11:$G$50,5))&amp;"]","")</f>
        <v>JAMIĆ, Jurica [105]</v>
      </c>
      <c r="F170" s="54">
        <v>26</v>
      </c>
      <c r="G170" s="606" t="str">
        <f>IF(VLOOKUP($F170,'Si Q priprema'!$A$11:$G$50,5)&gt;0,UPPER(VLOOKUP($F170,'Si Q priprema'!$A$11:$G$50,2))&amp;", "&amp;(VLOOKUP($F170,'Si Q priprema'!$A$11:$G$50,3))&amp;" ["&amp;(VLOOKUP($F170,'Si Q priprema'!$A$11:$G$50,5))&amp;"]","")</f>
        <v/>
      </c>
      <c r="H170" s="606"/>
      <c r="I170" s="607"/>
      <c r="J170" s="57">
        <v>2</v>
      </c>
      <c r="K170" s="58">
        <f>K56</f>
        <v>0</v>
      </c>
      <c r="L170" s="58"/>
      <c r="M170" s="58"/>
      <c r="N170" s="58"/>
      <c r="O170" s="209" t="str">
        <f>$O$56</f>
        <v>Bye</v>
      </c>
      <c r="P170" s="202"/>
      <c r="Q170" s="62"/>
      <c r="R170" s="63"/>
    </row>
    <row r="171" spans="1:18" ht="12" customHeight="1" x14ac:dyDescent="0.2">
      <c r="A171" s="135" t="s">
        <v>23</v>
      </c>
      <c r="B171" s="40"/>
      <c r="C171" s="65"/>
      <c r="D171" s="54">
        <v>19</v>
      </c>
      <c r="E171" s="169" t="str">
        <f>IF(VLOOKUP($D171,'Si Q priprema'!$A$11:$G$50,5)&gt;0,UPPER(VLOOKUP($D171,'Si Q priprema'!$A$11:$G$50,2))&amp;", "&amp;(VLOOKUP($D171,'Si Q priprema'!$A$11:$G$50,3))&amp;" ["&amp;(VLOOKUP($D171,'Si Q priprema'!$A$11:$G$50,5))&amp;"]","")</f>
        <v>JURLINA, Luka [105]</v>
      </c>
      <c r="F171" s="54">
        <v>27</v>
      </c>
      <c r="G171" s="606" t="str">
        <f>IF(VLOOKUP($F171,'Si Q priprema'!$A$11:$G$50,5)&gt;0,UPPER(VLOOKUP($F171,'Si Q priprema'!$A$11:$G$50,2))&amp;", "&amp;(VLOOKUP($F171,'Si Q priprema'!$A$11:$G$50,3))&amp;" ["&amp;(VLOOKUP($F171,'Si Q priprema'!$A$11:$G$50,5))&amp;"]","")</f>
        <v/>
      </c>
      <c r="H171" s="606"/>
      <c r="I171" s="607"/>
      <c r="J171" s="57">
        <f>J57</f>
        <v>0</v>
      </c>
      <c r="K171" s="58">
        <f>K57</f>
        <v>0</v>
      </c>
      <c r="L171" s="58"/>
      <c r="M171" s="58"/>
      <c r="N171" s="58"/>
      <c r="O171" s="200" t="s">
        <v>22</v>
      </c>
      <c r="Q171" s="52"/>
      <c r="R171" s="60"/>
    </row>
    <row r="172" spans="1:18" ht="12" customHeight="1" x14ac:dyDescent="0.2">
      <c r="A172" s="64" t="s">
        <v>26</v>
      </c>
      <c r="B172" s="58"/>
      <c r="C172" s="65">
        <f>$B$11</f>
        <v>44</v>
      </c>
      <c r="D172" s="54">
        <v>20</v>
      </c>
      <c r="E172" s="169" t="str">
        <f>IF(VLOOKUP($D172,'Si Q priprema'!$A$11:$G$50,5)&gt;0,UPPER(VLOOKUP($D172,'Si Q priprema'!$A$11:$G$50,2))&amp;", "&amp;(VLOOKUP($D172,'Si Q priprema'!$A$11:$G$50,3))&amp;" ["&amp;(VLOOKUP($D172,'Si Q priprema'!$A$11:$G$50,5))&amp;"]","")</f>
        <v>MUŠOVIĆ, Denis [105]</v>
      </c>
      <c r="F172" s="54">
        <v>28</v>
      </c>
      <c r="G172" s="606" t="str">
        <f>IF(VLOOKUP($F172,'Si Q priprema'!$A$11:$G$50,5)&gt;0,UPPER(VLOOKUP($F172,'Si Q priprema'!$A$11:$G$50,2))&amp;", "&amp;(VLOOKUP($F172,'Si Q priprema'!$A$11:$G$50,3))&amp;" ["&amp;(VLOOKUP($F172,'Si Q priprema'!$A$11:$G$50,5))&amp;"]","")</f>
        <v/>
      </c>
      <c r="H172" s="606"/>
      <c r="I172" s="607"/>
      <c r="J172" s="57">
        <f>J58</f>
        <v>0</v>
      </c>
      <c r="K172" s="58">
        <f>K58</f>
        <v>0</v>
      </c>
      <c r="L172" s="58"/>
      <c r="M172" s="58"/>
      <c r="N172" s="185"/>
      <c r="O172" s="184" t="str">
        <f>$O$58</f>
        <v xml:space="preserve">KRSTANOVIĆ Luka </v>
      </c>
      <c r="Q172" s="58"/>
      <c r="R172" s="56"/>
    </row>
    <row r="173" spans="1:18" ht="12" customHeight="1" x14ac:dyDescent="0.2">
      <c r="A173" s="64" t="s">
        <v>18</v>
      </c>
      <c r="B173" s="58"/>
      <c r="C173" s="186">
        <f>$C$59</f>
        <v>105</v>
      </c>
      <c r="D173" s="54">
        <v>21</v>
      </c>
      <c r="E173" s="169" t="str">
        <f>IF(VLOOKUP($D173,'Si Q priprema'!$A$11:$G$50,5)&gt;0,UPPER(VLOOKUP($D173,'Si Q priprema'!$A$11:$G$50,2))&amp;", "&amp;(VLOOKUP($D173,'Si Q priprema'!$A$11:$G$50,3))&amp;" ["&amp;(VLOOKUP($D173,'Si Q priprema'!$A$11:$G$50,5))&amp;"]","")</f>
        <v/>
      </c>
      <c r="F173" s="54">
        <v>29</v>
      </c>
      <c r="G173" s="606" t="str">
        <f>IF(VLOOKUP($F173,'Si Q priprema'!$A$11:$G$50,5)&gt;0,UPPER(VLOOKUP($F173,'Si Q priprema'!$A$11:$G$50,2))&amp;", "&amp;(VLOOKUP($F173,'Si Q priprema'!$A$11:$G$50,3))&amp;" ["&amp;(VLOOKUP($F173,'Si Q priprema'!$A$11:$G$50,5))&amp;"]","")</f>
        <v/>
      </c>
      <c r="H173" s="606"/>
      <c r="I173" s="607"/>
      <c r="J173" s="57">
        <f>J59</f>
        <v>0</v>
      </c>
      <c r="K173" s="58">
        <f>K59</f>
        <v>0</v>
      </c>
      <c r="L173" s="58"/>
      <c r="M173" s="58"/>
      <c r="N173" s="185"/>
      <c r="O173" s="61"/>
      <c r="P173" s="202"/>
      <c r="Q173" s="62"/>
      <c r="R173" s="63"/>
    </row>
    <row r="174" spans="1:18" ht="12" customHeight="1" x14ac:dyDescent="0.2">
      <c r="A174" s="135" t="s">
        <v>24</v>
      </c>
      <c r="B174" s="58"/>
      <c r="C174" s="65"/>
      <c r="D174" s="54">
        <v>22</v>
      </c>
      <c r="E174" s="171" t="str">
        <f>IF(VLOOKUP($D174,'Si Q priprema'!$A$11:$G$50,5)&gt;0,UPPER(VLOOKUP($D174,'Si Q priprema'!$A$11:$G$50,2))&amp;", "&amp;(VLOOKUP($D174,'Si Q priprema'!$A$11:$G$50,3))&amp;" ["&amp;(VLOOKUP($D174,'Si Q priprema'!$A$11:$G$50,5))&amp;"]","")</f>
        <v/>
      </c>
      <c r="F174" s="188">
        <v>30</v>
      </c>
      <c r="G174" s="606" t="str">
        <f>IF(VLOOKUP($F174,'Si Q priprema'!$A$11:$G$50,5)&gt;0,UPPER(VLOOKUP($F174,'Si Q priprema'!$A$11:$G$50,2))&amp;", "&amp;(VLOOKUP($F174,'Si Q priprema'!$A$11:$G$50,3))&amp;" ["&amp;(VLOOKUP($F174,'Si Q priprema'!$A$11:$G$50,5))&amp;"]","")</f>
        <v/>
      </c>
      <c r="H174" s="606"/>
      <c r="I174" s="607"/>
      <c r="J174" s="66" t="s">
        <v>21</v>
      </c>
      <c r="K174" s="52"/>
      <c r="L174" s="52"/>
      <c r="M174" s="52"/>
      <c r="N174" s="67"/>
      <c r="O174" s="200" t="s">
        <v>20</v>
      </c>
      <c r="Q174" s="52"/>
      <c r="R174" s="60"/>
    </row>
    <row r="175" spans="1:18" ht="12" customHeight="1" x14ac:dyDescent="0.2">
      <c r="A175" s="64" t="s">
        <v>26</v>
      </c>
      <c r="B175" s="58"/>
      <c r="C175" s="65">
        <f>$B$11</f>
        <v>44</v>
      </c>
      <c r="D175" s="54">
        <v>23</v>
      </c>
      <c r="E175" s="171" t="str">
        <f>IF(VLOOKUP($D175,'Si Q priprema'!$A$11:$G$50,5)&gt;0,UPPER(VLOOKUP($D175,'Si Q priprema'!$A$11:$G$50,2))&amp;", "&amp;(VLOOKUP($D175,'Si Q priprema'!$A$11:$G$50,3))&amp;" ["&amp;(VLOOKUP($D175,'Si Q priprema'!$A$11:$G$50,5))&amp;"]","")</f>
        <v/>
      </c>
      <c r="F175" s="188">
        <v>31</v>
      </c>
      <c r="G175" s="606" t="str">
        <f>IF(VLOOKUP($F175,'Si Q priprema'!$A$11:$G$50,5)&gt;0,UPPER(VLOOKUP($F175,'Si Q priprema'!$A$11:$G$50,2))&amp;", "&amp;(VLOOKUP($F175,'Si Q priprema'!$A$11:$G$50,3))&amp;" ["&amp;(VLOOKUP($F175,'Si Q priprema'!$A$11:$G$50,5))&amp;"]","")</f>
        <v/>
      </c>
      <c r="H175" s="606"/>
      <c r="I175" s="607"/>
      <c r="J175" s="68" t="str">
        <f>Pocetna!$F$14</f>
        <v xml:space="preserve">Boris Lumpert </v>
      </c>
      <c r="K175" s="58"/>
      <c r="L175" s="58"/>
      <c r="M175" s="58"/>
      <c r="N175" s="58"/>
      <c r="O175" s="64"/>
      <c r="Q175" s="58"/>
      <c r="R175" s="56"/>
    </row>
    <row r="176" spans="1:18" ht="12" customHeight="1" thickBot="1" x14ac:dyDescent="0.25">
      <c r="A176" s="61" t="s">
        <v>18</v>
      </c>
      <c r="B176" s="62"/>
      <c r="C176" s="187" t="str">
        <f>$C$62</f>
        <v>NR</v>
      </c>
      <c r="D176" s="527">
        <v>24</v>
      </c>
      <c r="E176" s="170" t="str">
        <f>IF(VLOOKUP($D176,'Si Q priprema'!$A$11:$G$50,5)&gt;0,UPPER(VLOOKUP($D176,'Si Q priprema'!$A$11:$G$50,2))&amp;", "&amp;(VLOOKUP($D176,'Si Q priprema'!$A$11:$G$50,3))&amp;" ["&amp;(VLOOKUP($D176,'Si Q priprema'!$A$11:$G$50,5))&amp;"]","")</f>
        <v/>
      </c>
      <c r="F176" s="69">
        <v>32</v>
      </c>
      <c r="G176" s="612" t="str">
        <f>IF(VLOOKUP($F176,'Si Q priprema'!$A$11:$G$50,5)&gt;0,UPPER(VLOOKUP($F176,'Si Q priprema'!$A$11:$G$50,2))&amp;", "&amp;(VLOOKUP($F176,'Si Q priprema'!$A$11:$G$50,3))&amp;" ["&amp;(VLOOKUP($F176,'Si Q priprema'!$A$11:$G$50,5))&amp;"]","")</f>
        <v/>
      </c>
      <c r="H176" s="612"/>
      <c r="I176" s="613"/>
      <c r="J176" s="71">
        <f>Pocetna!$F$15</f>
        <v>0</v>
      </c>
      <c r="K176" s="62"/>
      <c r="L176" s="62"/>
      <c r="M176" s="62"/>
      <c r="N176" s="62"/>
      <c r="O176" s="61" t="str">
        <f>Pocetna!$F$12</f>
        <v>Mladen Šančić</v>
      </c>
      <c r="P176" s="202"/>
      <c r="Q176" s="62"/>
      <c r="R176" s="63"/>
    </row>
    <row r="177" spans="1:21" ht="26.25" customHeight="1" x14ac:dyDescent="0.2">
      <c r="A177" s="20"/>
      <c r="B177" s="163" t="s">
        <v>6</v>
      </c>
      <c r="C177" s="163" t="s">
        <v>7</v>
      </c>
      <c r="D177" s="164" t="s">
        <v>8</v>
      </c>
      <c r="E177" s="642" t="s">
        <v>9</v>
      </c>
      <c r="F177" s="642"/>
      <c r="G177" s="163" t="s">
        <v>1</v>
      </c>
      <c r="H177" s="163"/>
      <c r="I177" s="642" t="s">
        <v>115</v>
      </c>
      <c r="J177" s="642"/>
      <c r="K177" s="642" t="s">
        <v>116</v>
      </c>
      <c r="L177" s="642"/>
      <c r="M177" s="642"/>
      <c r="N177" s="642" t="s">
        <v>117</v>
      </c>
      <c r="O177" s="642"/>
      <c r="P177" s="163" t="s">
        <v>118</v>
      </c>
      <c r="Q177" s="197" t="s">
        <v>119</v>
      </c>
      <c r="R177" s="163" t="s">
        <v>120</v>
      </c>
      <c r="U177" s="192"/>
    </row>
    <row r="178" spans="1:21" ht="12.75" customHeight="1" x14ac:dyDescent="0.2">
      <c r="A178" s="189"/>
      <c r="B178" s="165"/>
      <c r="C178" s="165"/>
      <c r="D178" s="205"/>
      <c r="E178" s="165"/>
      <c r="F178" s="165"/>
      <c r="G178" s="165"/>
      <c r="H178" s="165"/>
      <c r="I178" s="165"/>
      <c r="J178" s="165"/>
      <c r="K178" s="165"/>
      <c r="L178" s="165"/>
      <c r="M178" s="165"/>
      <c r="N178" s="165"/>
      <c r="O178" s="165"/>
      <c r="P178" s="165"/>
      <c r="Q178" s="204"/>
      <c r="R178" s="165"/>
      <c r="U178" s="192"/>
    </row>
    <row r="179" spans="1:21" ht="12.75" customHeight="1" x14ac:dyDescent="0.2">
      <c r="A179" s="189"/>
      <c r="B179" s="165"/>
      <c r="C179" s="165"/>
      <c r="D179" s="206"/>
      <c r="E179" s="165"/>
      <c r="F179" s="165"/>
      <c r="G179" s="165"/>
      <c r="H179" s="165"/>
      <c r="I179" s="165"/>
      <c r="J179" s="165"/>
      <c r="K179" s="165"/>
      <c r="L179" s="165"/>
      <c r="M179" s="165"/>
      <c r="N179" s="165"/>
      <c r="O179" s="165"/>
      <c r="P179" s="165"/>
      <c r="Q179" s="204"/>
      <c r="R179" s="165"/>
      <c r="U179" s="192"/>
    </row>
    <row r="180" spans="1:21" ht="12.75" customHeight="1" x14ac:dyDescent="0.2">
      <c r="A180" s="13"/>
      <c r="B180" s="13"/>
      <c r="C180" s="13"/>
      <c r="D180" s="207"/>
      <c r="E180" s="13"/>
      <c r="F180" s="13"/>
      <c r="G180" s="13"/>
      <c r="H180" s="13"/>
      <c r="I180" s="13"/>
      <c r="J180" s="13"/>
      <c r="K180" s="13"/>
      <c r="L180" s="13"/>
      <c r="M180" s="13"/>
      <c r="N180" s="13"/>
      <c r="O180" s="13"/>
      <c r="P180" s="13"/>
      <c r="Q180" s="13"/>
      <c r="R180" s="175"/>
      <c r="U180" s="192"/>
    </row>
    <row r="181" spans="1:21" ht="26.25" customHeight="1" x14ac:dyDescent="0.2">
      <c r="A181" s="174" t="s">
        <v>125</v>
      </c>
      <c r="B181" s="190"/>
      <c r="C181" s="190"/>
      <c r="D181" s="239"/>
      <c r="E181" s="193"/>
      <c r="F181" s="193"/>
      <c r="G181" s="191"/>
      <c r="H181" s="25"/>
      <c r="I181" s="638" t="str">
        <f>IF($D182&gt;0,LEFT($E182,FIND(", ",$E182)-1),"")</f>
        <v/>
      </c>
      <c r="J181" s="639"/>
      <c r="K181" s="640" t="str">
        <f>IF($D184&gt;0,LEFT($E184,FIND(", ",$E184)-1),"")</f>
        <v/>
      </c>
      <c r="L181" s="640"/>
      <c r="M181" s="640"/>
      <c r="N181" s="638" t="str">
        <f>IF($D186&gt;0,LEFT($E186,FIND(", ",$E186)-1),"")</f>
        <v/>
      </c>
      <c r="O181" s="639"/>
      <c r="P181" s="129" t="str">
        <f>IF($D188&gt;0,LEFT($E188,FIND(", ",$E188)-1),"")</f>
        <v/>
      </c>
      <c r="Q181" s="198" t="s">
        <v>119</v>
      </c>
      <c r="R181" s="199" t="s">
        <v>120</v>
      </c>
      <c r="U181" s="192"/>
    </row>
    <row r="182" spans="1:21" ht="26.25" customHeight="1" x14ac:dyDescent="0.2">
      <c r="A182" s="195">
        <v>1</v>
      </c>
      <c r="B182" s="147" t="str">
        <f>IF($D182="","",VLOOKUP($D182,'Si Q priprema'!$A$11:$F$138,5))</f>
        <v/>
      </c>
      <c r="C182" s="147" t="str">
        <f>IF($D182="","",UPPER(IF(OR(VLOOKUP($D182,'Si Q priprema'!$A$11:$F$138,6)=0,VLOOKUP($D182,'Si Q priprema'!$A$11:$F$138,6)="QA"),"",VLOOKUP($D182,'Si Q priprema'!$A$11:$F$138,6))))</f>
        <v/>
      </c>
      <c r="D182" s="194"/>
      <c r="E182" s="608" t="str">
        <f>IF($D182="","",UPPER(VLOOKUP($D182,'Si Q priprema'!$A$11:$F$138,2))&amp;", "&amp;VLOOKUP($D182,'Si Q priprema'!$A$11:$F$138,3))</f>
        <v/>
      </c>
      <c r="F182" s="609"/>
      <c r="G182" s="196" t="str">
        <f>IF($D182="","",UPPER(VLOOKUP($D182,'Si Q priprema'!$A$11:$F$138,4)))</f>
        <v/>
      </c>
      <c r="H182" s="208"/>
      <c r="I182" s="634"/>
      <c r="J182" s="635"/>
      <c r="K182" s="632"/>
      <c r="L182" s="641"/>
      <c r="M182" s="633"/>
      <c r="N182" s="632"/>
      <c r="O182" s="633"/>
      <c r="P182" s="194"/>
      <c r="Q182" s="240"/>
      <c r="R182" s="621"/>
      <c r="U182" s="192"/>
    </row>
    <row r="183" spans="1:21" ht="12.75" customHeight="1" x14ac:dyDescent="0.2">
      <c r="A183" s="241"/>
      <c r="B183" s="202"/>
      <c r="C183" s="202"/>
      <c r="D183" s="242"/>
      <c r="E183" s="202"/>
      <c r="F183" s="202"/>
      <c r="G183" s="202"/>
      <c r="H183" s="202"/>
      <c r="I183" s="636"/>
      <c r="J183" s="637"/>
      <c r="K183" s="623" t="s">
        <v>77</v>
      </c>
      <c r="L183" s="625"/>
      <c r="M183" s="624"/>
      <c r="N183" s="623" t="s">
        <v>77</v>
      </c>
      <c r="O183" s="624"/>
      <c r="P183" s="243" t="s">
        <v>77</v>
      </c>
      <c r="Q183" s="244"/>
      <c r="R183" s="622"/>
      <c r="U183" s="192"/>
    </row>
    <row r="184" spans="1:21" ht="26.25" customHeight="1" x14ac:dyDescent="0.2">
      <c r="A184" s="195">
        <v>2</v>
      </c>
      <c r="B184" s="147" t="str">
        <f>IF($D184="","",VLOOKUP($D184,'Si Q priprema'!$A$11:$F$138,5))</f>
        <v/>
      </c>
      <c r="C184" s="147" t="str">
        <f>IF($D184="","",UPPER(IF(OR(VLOOKUP($D184,'Si Q priprema'!$A$11:$F$138,6)=0,VLOOKUP($D184,'Si Q priprema'!$A$11:$F$138,6)="QA"),"",VLOOKUP($D184,'Si Q priprema'!$A$11:$F$138,6))))</f>
        <v/>
      </c>
      <c r="D184" s="194"/>
      <c r="E184" s="608" t="str">
        <f>IF($D184="","",UPPER(VLOOKUP($D184,'Si Q priprema'!$A$11:$F$138,2))&amp;", "&amp;VLOOKUP($D184,'Si Q priprema'!$A$11:$F$138,3))</f>
        <v/>
      </c>
      <c r="F184" s="609"/>
      <c r="G184" s="196" t="str">
        <f>IF($D184="","",UPPER(VLOOKUP($D184,'Si Q priprema'!$A$11:$F$138,4)))</f>
        <v/>
      </c>
      <c r="H184" s="183"/>
      <c r="I184" s="610" t="str">
        <f>MID(K182,2,1)&amp;""&amp;MID(K182,1,1)&amp;" "&amp;MID(K182,5,1)&amp;""&amp;MID(K182,4,1)&amp;" "&amp;MID(K182,8,1)&amp;""&amp;MID(K182,7,1)</f>
        <v xml:space="preserve">  </v>
      </c>
      <c r="J184" s="611"/>
      <c r="K184" s="626"/>
      <c r="L184" s="627"/>
      <c r="M184" s="628"/>
      <c r="N184" s="632"/>
      <c r="O184" s="633"/>
      <c r="P184" s="194"/>
      <c r="Q184" s="240"/>
      <c r="R184" s="621"/>
      <c r="U184" s="192"/>
    </row>
    <row r="185" spans="1:21" ht="12.75" customHeight="1" x14ac:dyDescent="0.2">
      <c r="A185" s="241"/>
      <c r="B185" s="202"/>
      <c r="C185" s="202"/>
      <c r="D185" s="242"/>
      <c r="E185" s="202"/>
      <c r="F185" s="202"/>
      <c r="G185" s="202"/>
      <c r="H185" s="237"/>
      <c r="I185" s="623" t="s">
        <v>77</v>
      </c>
      <c r="J185" s="624"/>
      <c r="K185" s="629"/>
      <c r="L185" s="630"/>
      <c r="M185" s="631"/>
      <c r="N185" s="623" t="s">
        <v>77</v>
      </c>
      <c r="O185" s="624"/>
      <c r="P185" s="243" t="s">
        <v>77</v>
      </c>
      <c r="Q185" s="244"/>
      <c r="R185" s="622"/>
      <c r="U185" s="192"/>
    </row>
    <row r="186" spans="1:21" ht="26.25" customHeight="1" x14ac:dyDescent="0.2">
      <c r="A186" s="195">
        <v>3</v>
      </c>
      <c r="B186" s="147" t="str">
        <f>IF($D186="","",VLOOKUP($D186,'Si Q priprema'!$A$11:$F$138,5))</f>
        <v/>
      </c>
      <c r="C186" s="147" t="str">
        <f>IF($D186="","",UPPER(IF(OR(VLOOKUP($D186,'Si Q priprema'!$A$11:$F$138,6)=0,VLOOKUP($D186,'Si Q priprema'!$A$11:$F$138,6)="QA"),"",VLOOKUP($D186,'Si Q priprema'!$A$11:$F$138,6))))</f>
        <v/>
      </c>
      <c r="D186" s="194"/>
      <c r="E186" s="608" t="str">
        <f>IF($D186="","",UPPER(VLOOKUP($D186,'Si Q priprema'!$A$11:$F$138,2))&amp;", "&amp;VLOOKUP($D186,'Si Q priprema'!$A$11:$F$138,3))</f>
        <v/>
      </c>
      <c r="F186" s="609"/>
      <c r="G186" s="196" t="str">
        <f>IF($D186="","",UPPER(VLOOKUP($D186,'Si Q priprema'!$A$11:$F$138,4)))</f>
        <v/>
      </c>
      <c r="H186" s="183"/>
      <c r="I186" s="610" t="str">
        <f>MID(N182,2,1)&amp;""&amp;MID(N182,1,1)&amp;" "&amp;MID(N182,5,1)&amp;""&amp;MID(N182,4,1)&amp;" "&amp;MID(N182,8,1)&amp;""&amp;MID(N182,7,1)</f>
        <v xml:space="preserve">  </v>
      </c>
      <c r="J186" s="611"/>
      <c r="K186" s="618" t="str">
        <f>MID(N184,2,1)&amp;""&amp;MID(N184,1,1)&amp;" "&amp;MID(N184,5,1)&amp;""&amp;MID(N184,4,1)&amp;" "&amp;MID(N184,8,1)&amp;""&amp;MID(N184,7,1)</f>
        <v xml:space="preserve">  </v>
      </c>
      <c r="L186" s="618"/>
      <c r="M186" s="618"/>
      <c r="N186" s="634"/>
      <c r="O186" s="635"/>
      <c r="P186" s="194"/>
      <c r="Q186" s="240"/>
      <c r="R186" s="621"/>
      <c r="U186" s="192"/>
    </row>
    <row r="187" spans="1:21" ht="12.75" customHeight="1" x14ac:dyDescent="0.2">
      <c r="A187" s="241"/>
      <c r="B187" s="202"/>
      <c r="C187" s="202"/>
      <c r="D187" s="242"/>
      <c r="E187" s="202"/>
      <c r="F187" s="202"/>
      <c r="G187" s="202"/>
      <c r="H187" s="237"/>
      <c r="I187" s="623" t="s">
        <v>77</v>
      </c>
      <c r="J187" s="624"/>
      <c r="K187" s="623" t="s">
        <v>77</v>
      </c>
      <c r="L187" s="625"/>
      <c r="M187" s="624"/>
      <c r="N187" s="636"/>
      <c r="O187" s="637"/>
      <c r="P187" s="243" t="s">
        <v>77</v>
      </c>
      <c r="Q187" s="244"/>
      <c r="R187" s="622"/>
      <c r="U187" s="192"/>
    </row>
    <row r="188" spans="1:21" ht="26.25" customHeight="1" x14ac:dyDescent="0.2">
      <c r="A188" s="195">
        <v>4</v>
      </c>
      <c r="B188" s="147" t="str">
        <f>IF($D188="","",VLOOKUP($D188,'Si Q priprema'!$A$11:$F$138,5))</f>
        <v/>
      </c>
      <c r="C188" s="147" t="str">
        <f>IF($D188="","",UPPER(IF(OR(VLOOKUP($D188,'Si Q priprema'!$A$11:$F$138,6)=0,VLOOKUP($D188,'Si Q priprema'!$A$11:$F$138,6)="QA"),"",VLOOKUP($D188,'Si Q priprema'!$A$11:$F$138,6))))</f>
        <v/>
      </c>
      <c r="D188" s="194"/>
      <c r="E188" s="608" t="str">
        <f>IF($D188="","",UPPER(VLOOKUP($D188,'Si Q priprema'!$A$11:$F$138,2))&amp;", "&amp;VLOOKUP($D188,'Si Q priprema'!$A$11:$F$138,3))</f>
        <v/>
      </c>
      <c r="F188" s="609"/>
      <c r="G188" s="196" t="str">
        <f>IF($D188="","",UPPER(VLOOKUP($D188,'Si Q priprema'!$A$11:$F$138,4)))</f>
        <v/>
      </c>
      <c r="H188" s="183"/>
      <c r="I188" s="610" t="str">
        <f>MID(P182,2,1)&amp;""&amp;MID(P182,1,1)&amp;" "&amp;MID(P182,5,1)&amp;""&amp;MID(P182,4,1)&amp;" "&amp;MID(P182,8,1)&amp;""&amp;MID(P182,7,1)</f>
        <v xml:space="preserve">  </v>
      </c>
      <c r="J188" s="611"/>
      <c r="K188" s="618" t="str">
        <f>MID(P184,2,1)&amp;""&amp;MID(P184,1,1)&amp;" "&amp;MID(P184,5,1)&amp;""&amp;MID(P184,4,1)&amp;" "&amp;MID(P184,8,1)&amp;""&amp;MID(P184,7,1)</f>
        <v xml:space="preserve">  </v>
      </c>
      <c r="L188" s="618"/>
      <c r="M188" s="618"/>
      <c r="N188" s="610" t="str">
        <f>MID(P186,2,1)&amp;""&amp;MID(P186,1,1)&amp;" "&amp;MID(P186,5,1)&amp;""&amp;MID(P186,4,1)&amp;" "&amp;MID(P186,8,1)&amp;""&amp;MID(P186,7,1)</f>
        <v xml:space="preserve">  </v>
      </c>
      <c r="O188" s="611"/>
      <c r="P188" s="619"/>
      <c r="Q188" s="240"/>
      <c r="R188" s="621"/>
      <c r="S188" s="193"/>
      <c r="U188" s="192"/>
    </row>
    <row r="189" spans="1:21" ht="12.75" customHeight="1" x14ac:dyDescent="0.2">
      <c r="A189" s="241"/>
      <c r="B189" s="202"/>
      <c r="C189" s="202"/>
      <c r="D189" s="242"/>
      <c r="E189" s="202"/>
      <c r="F189" s="202"/>
      <c r="G189" s="202"/>
      <c r="H189" s="237"/>
      <c r="I189" s="623" t="s">
        <v>77</v>
      </c>
      <c r="J189" s="624"/>
      <c r="K189" s="623" t="s">
        <v>77</v>
      </c>
      <c r="L189" s="625"/>
      <c r="M189" s="624"/>
      <c r="N189" s="623" t="s">
        <v>77</v>
      </c>
      <c r="O189" s="624"/>
      <c r="P189" s="620"/>
      <c r="Q189" s="244"/>
      <c r="R189" s="622"/>
      <c r="U189" s="149"/>
    </row>
    <row r="190" spans="1:21" ht="12.75" customHeight="1" x14ac:dyDescent="0.2">
      <c r="A190" s="149"/>
      <c r="B190" s="149"/>
      <c r="C190" s="149"/>
      <c r="D190" s="239"/>
      <c r="E190" s="149"/>
      <c r="F190" s="149"/>
      <c r="G190" s="149"/>
      <c r="H190" s="149"/>
      <c r="I190" s="236"/>
      <c r="J190" s="236"/>
      <c r="K190" s="236"/>
      <c r="L190" s="236"/>
      <c r="M190" s="236"/>
      <c r="N190" s="236"/>
      <c r="O190" s="236"/>
      <c r="P190" s="245"/>
      <c r="Q190" s="149"/>
      <c r="R190" s="246"/>
      <c r="U190" s="149"/>
    </row>
    <row r="191" spans="1:21" ht="12.75" customHeight="1" x14ac:dyDescent="0.2">
      <c r="D191" s="239"/>
      <c r="U191" s="149"/>
    </row>
    <row r="192" spans="1:21" ht="26.25" customHeight="1" x14ac:dyDescent="0.2">
      <c r="A192" s="174" t="s">
        <v>126</v>
      </c>
      <c r="B192" s="190"/>
      <c r="C192" s="190"/>
      <c r="D192" s="239"/>
      <c r="E192" s="193"/>
      <c r="F192" s="193"/>
      <c r="G192" s="191"/>
      <c r="H192" s="25"/>
      <c r="I192" s="638" t="str">
        <f>IF($D193&gt;0,LEFT($E193,FIND(", ",$E193)-1),"")</f>
        <v/>
      </c>
      <c r="J192" s="639"/>
      <c r="K192" s="640" t="str">
        <f>IF($D195&gt;0,LEFT($E195,FIND(", ",$E195)-1),"")</f>
        <v/>
      </c>
      <c r="L192" s="640"/>
      <c r="M192" s="640"/>
      <c r="N192" s="638" t="str">
        <f>IF($D197&gt;0,LEFT($E197,FIND(", ",$E197)-1),"")</f>
        <v/>
      </c>
      <c r="O192" s="639"/>
      <c r="P192" s="129" t="str">
        <f>IF($D199&gt;0,LEFT($E199,FIND(", ",$E199)-1),"")</f>
        <v/>
      </c>
      <c r="Q192" s="198" t="s">
        <v>119</v>
      </c>
      <c r="R192" s="199" t="s">
        <v>120</v>
      </c>
      <c r="U192" s="149"/>
    </row>
    <row r="193" spans="1:18" ht="26.25" customHeight="1" x14ac:dyDescent="0.2">
      <c r="A193" s="195">
        <v>1</v>
      </c>
      <c r="B193" s="147" t="str">
        <f>IF($D193="","",VLOOKUP($D193,'Si Q priprema'!$A$11:$F$138,5))</f>
        <v/>
      </c>
      <c r="C193" s="147" t="str">
        <f>IF($D193="","",UPPER(IF(OR(VLOOKUP($D193,'Si Q priprema'!$A$11:$F$138,6)=0,VLOOKUP($D193,'Si Q priprema'!$A$11:$F$138,6)="QA"),"",VLOOKUP($D193,'Si Q priprema'!$A$11:$F$138,6))))</f>
        <v/>
      </c>
      <c r="D193" s="194"/>
      <c r="E193" s="608" t="str">
        <f>IF($D193="","",UPPER(VLOOKUP($D193,'Si Q priprema'!$A$11:$F$138,2))&amp;", "&amp;VLOOKUP($D193,'Si Q priprema'!$A$11:$F$138,3))</f>
        <v/>
      </c>
      <c r="F193" s="609"/>
      <c r="G193" s="196" t="str">
        <f>IF($D193="","",UPPER(VLOOKUP($D193,'Si Q priprema'!$A$11:$F$138,4)))</f>
        <v/>
      </c>
      <c r="H193" s="208"/>
      <c r="I193" s="634"/>
      <c r="J193" s="635"/>
      <c r="K193" s="632"/>
      <c r="L193" s="641"/>
      <c r="M193" s="633"/>
      <c r="N193" s="632"/>
      <c r="O193" s="633"/>
      <c r="P193" s="194"/>
      <c r="Q193" s="240"/>
      <c r="R193" s="621"/>
    </row>
    <row r="194" spans="1:18" ht="12.75" customHeight="1" x14ac:dyDescent="0.2">
      <c r="A194" s="241"/>
      <c r="B194" s="202"/>
      <c r="C194" s="202"/>
      <c r="D194" s="242"/>
      <c r="E194" s="202"/>
      <c r="F194" s="202"/>
      <c r="G194" s="202"/>
      <c r="H194" s="202"/>
      <c r="I194" s="636"/>
      <c r="J194" s="637"/>
      <c r="K194" s="623" t="s">
        <v>77</v>
      </c>
      <c r="L194" s="625"/>
      <c r="M194" s="624"/>
      <c r="N194" s="623" t="s">
        <v>77</v>
      </c>
      <c r="O194" s="624"/>
      <c r="P194" s="243" t="s">
        <v>77</v>
      </c>
      <c r="Q194" s="244"/>
      <c r="R194" s="622"/>
    </row>
    <row r="195" spans="1:18" ht="26.25" customHeight="1" x14ac:dyDescent="0.2">
      <c r="A195" s="195">
        <v>2</v>
      </c>
      <c r="B195" s="147" t="str">
        <f>IF($D195="","",VLOOKUP($D195,'Si Q priprema'!$A$11:$F$138,5))</f>
        <v/>
      </c>
      <c r="C195" s="147" t="str">
        <f>IF($D195="","",UPPER(IF(OR(VLOOKUP($D195,'Si Q priprema'!$A$11:$F$138,6)=0,VLOOKUP($D195,'Si Q priprema'!$A$11:$F$138,6)="QA"),"",VLOOKUP($D195,'Si Q priprema'!$A$11:$F$138,6))))</f>
        <v/>
      </c>
      <c r="D195" s="194"/>
      <c r="E195" s="608" t="str">
        <f>IF($D195="","",UPPER(VLOOKUP($D195,'Si Q priprema'!$A$11:$F$138,2))&amp;", "&amp;VLOOKUP($D195,'Si Q priprema'!$A$11:$F$138,3))</f>
        <v/>
      </c>
      <c r="F195" s="609"/>
      <c r="G195" s="196" t="str">
        <f>IF($D195="","",UPPER(VLOOKUP($D195,'Si Q priprema'!$A$11:$F$138,4)))</f>
        <v/>
      </c>
      <c r="H195" s="183"/>
      <c r="I195" s="610" t="str">
        <f>MID(K193,2,1)&amp;""&amp;MID(K193,1,1)&amp;" "&amp;MID(K193,5,1)&amp;""&amp;MID(K193,4,1)&amp;" "&amp;MID(K193,8,1)&amp;""&amp;MID(K193,7,1)</f>
        <v xml:space="preserve">  </v>
      </c>
      <c r="J195" s="611"/>
      <c r="K195" s="626"/>
      <c r="L195" s="627"/>
      <c r="M195" s="628"/>
      <c r="N195" s="632"/>
      <c r="O195" s="633"/>
      <c r="P195" s="194"/>
      <c r="Q195" s="240"/>
      <c r="R195" s="621"/>
    </row>
    <row r="196" spans="1:18" ht="12.75" customHeight="1" x14ac:dyDescent="0.2">
      <c r="A196" s="241"/>
      <c r="B196" s="202"/>
      <c r="C196" s="202"/>
      <c r="D196" s="242"/>
      <c r="E196" s="202"/>
      <c r="F196" s="202"/>
      <c r="G196" s="202"/>
      <c r="H196" s="237"/>
      <c r="I196" s="623" t="s">
        <v>77</v>
      </c>
      <c r="J196" s="624"/>
      <c r="K196" s="629"/>
      <c r="L196" s="630"/>
      <c r="M196" s="631"/>
      <c r="N196" s="623" t="s">
        <v>77</v>
      </c>
      <c r="O196" s="624"/>
      <c r="P196" s="243" t="s">
        <v>77</v>
      </c>
      <c r="Q196" s="244"/>
      <c r="R196" s="622"/>
    </row>
    <row r="197" spans="1:18" ht="26.25" customHeight="1" x14ac:dyDescent="0.2">
      <c r="A197" s="195">
        <v>3</v>
      </c>
      <c r="B197" s="147" t="str">
        <f>IF($D197="","",VLOOKUP($D197,'Si Q priprema'!$A$11:$F$138,5))</f>
        <v/>
      </c>
      <c r="C197" s="147" t="str">
        <f>IF($D197="","",UPPER(IF(OR(VLOOKUP($D197,'Si Q priprema'!$A$11:$F$138,6)=0,VLOOKUP($D197,'Si Q priprema'!$A$11:$F$138,6)="QA"),"",VLOOKUP($D197,'Si Q priprema'!$A$11:$F$138,6))))</f>
        <v/>
      </c>
      <c r="D197" s="194"/>
      <c r="E197" s="608" t="str">
        <f>IF($D197="","",UPPER(VLOOKUP($D197,'Si Q priprema'!$A$11:$F$138,2))&amp;", "&amp;VLOOKUP($D197,'Si Q priprema'!$A$11:$F$138,3))</f>
        <v/>
      </c>
      <c r="F197" s="609"/>
      <c r="G197" s="196" t="str">
        <f>IF($D197="","",UPPER(VLOOKUP($D197,'Si Q priprema'!$A$11:$F$138,4)))</f>
        <v/>
      </c>
      <c r="H197" s="183"/>
      <c r="I197" s="610" t="str">
        <f>MID(N193,2,1)&amp;""&amp;MID(N193,1,1)&amp;" "&amp;MID(N193,5,1)&amp;""&amp;MID(N193,4,1)&amp;" "&amp;MID(N193,8,1)&amp;""&amp;MID(N193,7,1)</f>
        <v xml:space="preserve">  </v>
      </c>
      <c r="J197" s="611"/>
      <c r="K197" s="618" t="str">
        <f>MID(N195,2,1)&amp;""&amp;MID(N195,1,1)&amp;" "&amp;MID(N195,5,1)&amp;""&amp;MID(N195,4,1)&amp;" "&amp;MID(N195,8,1)&amp;""&amp;MID(N195,7,1)</f>
        <v xml:space="preserve">  </v>
      </c>
      <c r="L197" s="618"/>
      <c r="M197" s="618"/>
      <c r="N197" s="634"/>
      <c r="O197" s="635"/>
      <c r="P197" s="194"/>
      <c r="Q197" s="240"/>
      <c r="R197" s="621"/>
    </row>
    <row r="198" spans="1:18" ht="12.75" customHeight="1" x14ac:dyDescent="0.2">
      <c r="A198" s="241"/>
      <c r="B198" s="202"/>
      <c r="C198" s="202"/>
      <c r="D198" s="242"/>
      <c r="E198" s="202"/>
      <c r="F198" s="202"/>
      <c r="G198" s="202"/>
      <c r="H198" s="237"/>
      <c r="I198" s="623" t="s">
        <v>77</v>
      </c>
      <c r="J198" s="624"/>
      <c r="K198" s="623" t="s">
        <v>77</v>
      </c>
      <c r="L198" s="625"/>
      <c r="M198" s="624"/>
      <c r="N198" s="636"/>
      <c r="O198" s="637"/>
      <c r="P198" s="243" t="s">
        <v>77</v>
      </c>
      <c r="Q198" s="244"/>
      <c r="R198" s="622"/>
    </row>
    <row r="199" spans="1:18" ht="26.25" customHeight="1" x14ac:dyDescent="0.2">
      <c r="A199" s="195">
        <v>4</v>
      </c>
      <c r="B199" s="147" t="str">
        <f>IF($D199="","",VLOOKUP($D199,'Si Q priprema'!$A$11:$F$138,5))</f>
        <v/>
      </c>
      <c r="C199" s="147" t="str">
        <f>IF($D199="","",UPPER(IF(OR(VLOOKUP($D199,'Si Q priprema'!$A$11:$F$138,6)=0,VLOOKUP($D199,'Si Q priprema'!$A$11:$F$138,6)="QA"),"",VLOOKUP($D199,'Si Q priprema'!$A$11:$F$138,6))))</f>
        <v/>
      </c>
      <c r="D199" s="194"/>
      <c r="E199" s="608" t="str">
        <f>IF($D199="","",UPPER(VLOOKUP($D199,'Si Q priprema'!$A$11:$F$138,2))&amp;", "&amp;VLOOKUP($D199,'Si Q priprema'!$A$11:$F$138,3))</f>
        <v/>
      </c>
      <c r="F199" s="609"/>
      <c r="G199" s="196" t="str">
        <f>IF($D199="","",UPPER(VLOOKUP($D199,'Si Q priprema'!$A$11:$F$138,4)))</f>
        <v/>
      </c>
      <c r="H199" s="183"/>
      <c r="I199" s="610" t="str">
        <f>MID(P193,2,1)&amp;""&amp;MID(P193,1,1)&amp;" "&amp;MID(P193,5,1)&amp;""&amp;MID(P193,4,1)&amp;" "&amp;MID(P193,8,1)&amp;""&amp;MID(P193,7,1)</f>
        <v xml:space="preserve">  </v>
      </c>
      <c r="J199" s="611"/>
      <c r="K199" s="618" t="str">
        <f>MID(P195,2,1)&amp;""&amp;MID(P195,1,1)&amp;" "&amp;MID(P195,5,1)&amp;""&amp;MID(P195,4,1)&amp;" "&amp;MID(P195,8,1)&amp;""&amp;MID(P195,7,1)</f>
        <v xml:space="preserve">  </v>
      </c>
      <c r="L199" s="618"/>
      <c r="M199" s="618"/>
      <c r="N199" s="610" t="str">
        <f>MID(P197,2,1)&amp;""&amp;MID(P197,1,1)&amp;" "&amp;MID(P197,5,1)&amp;""&amp;MID(P197,4,1)&amp;" "&amp;MID(P197,8,1)&amp;""&amp;MID(P197,7,1)</f>
        <v xml:space="preserve">  </v>
      </c>
      <c r="O199" s="611"/>
      <c r="P199" s="619"/>
      <c r="Q199" s="240"/>
      <c r="R199" s="621"/>
    </row>
    <row r="200" spans="1:18" ht="12.75" customHeight="1" x14ac:dyDescent="0.2">
      <c r="A200" s="241"/>
      <c r="B200" s="202"/>
      <c r="C200" s="202"/>
      <c r="D200" s="242"/>
      <c r="E200" s="202"/>
      <c r="F200" s="202"/>
      <c r="G200" s="202"/>
      <c r="H200" s="237"/>
      <c r="I200" s="623" t="s">
        <v>77</v>
      </c>
      <c r="J200" s="624"/>
      <c r="K200" s="623" t="s">
        <v>77</v>
      </c>
      <c r="L200" s="625"/>
      <c r="M200" s="624"/>
      <c r="N200" s="623" t="s">
        <v>77</v>
      </c>
      <c r="O200" s="624"/>
      <c r="P200" s="620"/>
      <c r="Q200" s="244"/>
      <c r="R200" s="622"/>
    </row>
    <row r="201" spans="1:18" ht="12.75" customHeight="1" x14ac:dyDescent="0.2">
      <c r="A201" s="149"/>
      <c r="B201" s="149"/>
      <c r="C201" s="149"/>
      <c r="D201" s="239"/>
      <c r="E201" s="149"/>
      <c r="F201" s="149"/>
      <c r="G201" s="149"/>
      <c r="H201" s="149"/>
      <c r="I201" s="236"/>
      <c r="J201" s="236"/>
      <c r="K201" s="236"/>
      <c r="L201" s="236"/>
      <c r="M201" s="236"/>
      <c r="N201" s="236"/>
      <c r="O201" s="236"/>
      <c r="P201" s="245"/>
      <c r="Q201" s="149"/>
      <c r="R201" s="246"/>
    </row>
    <row r="202" spans="1:18" ht="12.75" customHeight="1" x14ac:dyDescent="0.2">
      <c r="D202" s="239"/>
    </row>
    <row r="203" spans="1:18" ht="26.25" customHeight="1" x14ac:dyDescent="0.2">
      <c r="A203" s="174" t="s">
        <v>127</v>
      </c>
      <c r="B203" s="190"/>
      <c r="C203" s="190"/>
      <c r="D203" s="239"/>
      <c r="E203" s="193"/>
      <c r="F203" s="193"/>
      <c r="G203" s="191"/>
      <c r="H203" s="25"/>
      <c r="I203" s="638" t="str">
        <f>IF($D204&gt;0,LEFT($E204,FIND(", ",$E204)-1),"")</f>
        <v/>
      </c>
      <c r="J203" s="639"/>
      <c r="K203" s="640" t="str">
        <f>IF($D206&gt;0,LEFT($E206,FIND(", ",$E206)-1),"")</f>
        <v/>
      </c>
      <c r="L203" s="640"/>
      <c r="M203" s="640"/>
      <c r="N203" s="638" t="str">
        <f>IF($D208&gt;0,LEFT($E208,FIND(", ",$E208)-1),"")</f>
        <v/>
      </c>
      <c r="O203" s="639"/>
      <c r="P203" s="129" t="str">
        <f>IF($D210&gt;0,LEFT($E210,FIND(", ",$E210)-1),"")</f>
        <v/>
      </c>
      <c r="Q203" s="198" t="s">
        <v>119</v>
      </c>
      <c r="R203" s="199" t="s">
        <v>120</v>
      </c>
    </row>
    <row r="204" spans="1:18" ht="26.25" customHeight="1" x14ac:dyDescent="0.2">
      <c r="A204" s="195">
        <v>1</v>
      </c>
      <c r="B204" s="147" t="str">
        <f>IF($D204="","",VLOOKUP($D204,'Si Q priprema'!$A$11:$F$138,5))</f>
        <v/>
      </c>
      <c r="C204" s="147" t="str">
        <f>IF($D204="","",UPPER(IF(OR(VLOOKUP($D204,'Si Q priprema'!$A$11:$F$138,6)=0,VLOOKUP($D204,'Si Q priprema'!$A$11:$F$138,6)="QA"),"",VLOOKUP($D204,'Si Q priprema'!$A$11:$F$138,6))))</f>
        <v/>
      </c>
      <c r="D204" s="194"/>
      <c r="E204" s="608" t="str">
        <f>IF($D204="","",UPPER(VLOOKUP($D204,'Si Q priprema'!$A$11:$F$138,2))&amp;", "&amp;VLOOKUP($D204,'Si Q priprema'!$A$11:$F$138,3))</f>
        <v/>
      </c>
      <c r="F204" s="609"/>
      <c r="G204" s="196" t="str">
        <f>IF($D204="","",UPPER(VLOOKUP($D204,'Si Q priprema'!$A$11:$F$138,4)))</f>
        <v/>
      </c>
      <c r="H204" s="208"/>
      <c r="I204" s="634"/>
      <c r="J204" s="635"/>
      <c r="K204" s="632"/>
      <c r="L204" s="641"/>
      <c r="M204" s="633"/>
      <c r="N204" s="632"/>
      <c r="O204" s="633"/>
      <c r="P204" s="194"/>
      <c r="Q204" s="240"/>
      <c r="R204" s="621"/>
    </row>
    <row r="205" spans="1:18" ht="12.75" customHeight="1" x14ac:dyDescent="0.2">
      <c r="A205" s="241"/>
      <c r="B205" s="202"/>
      <c r="C205" s="202"/>
      <c r="D205" s="242"/>
      <c r="E205" s="202"/>
      <c r="F205" s="202"/>
      <c r="G205" s="202"/>
      <c r="H205" s="202"/>
      <c r="I205" s="636"/>
      <c r="J205" s="637"/>
      <c r="K205" s="623" t="s">
        <v>77</v>
      </c>
      <c r="L205" s="625"/>
      <c r="M205" s="624"/>
      <c r="N205" s="623" t="s">
        <v>77</v>
      </c>
      <c r="O205" s="624"/>
      <c r="P205" s="243" t="s">
        <v>77</v>
      </c>
      <c r="Q205" s="244"/>
      <c r="R205" s="622"/>
    </row>
    <row r="206" spans="1:18" ht="26.25" customHeight="1" x14ac:dyDescent="0.2">
      <c r="A206" s="195">
        <v>2</v>
      </c>
      <c r="B206" s="147" t="str">
        <f>IF($D206="","",VLOOKUP($D206,'Si Q priprema'!$A$11:$F$138,5))</f>
        <v/>
      </c>
      <c r="C206" s="147" t="str">
        <f>IF($D206="","",UPPER(IF(OR(VLOOKUP($D206,'Si Q priprema'!$A$11:$F$138,6)=0,VLOOKUP($D206,'Si Q priprema'!$A$11:$F$138,6)="QA"),"",VLOOKUP($D206,'Si Q priprema'!$A$11:$F$138,6))))</f>
        <v/>
      </c>
      <c r="D206" s="194"/>
      <c r="E206" s="608" t="str">
        <f>IF($D206="","",UPPER(VLOOKUP($D206,'Si Q priprema'!$A$11:$F$138,2))&amp;", "&amp;VLOOKUP($D206,'Si Q priprema'!$A$11:$F$138,3))</f>
        <v/>
      </c>
      <c r="F206" s="609"/>
      <c r="G206" s="196" t="str">
        <f>IF($D206="","",UPPER(VLOOKUP($D206,'Si Q priprema'!$A$11:$F$138,4)))</f>
        <v/>
      </c>
      <c r="H206" s="183"/>
      <c r="I206" s="610" t="str">
        <f>MID(K204,2,1)&amp;""&amp;MID(K204,1,1)&amp;" "&amp;MID(K204,5,1)&amp;""&amp;MID(K204,4,1)&amp;" "&amp;MID(K204,8,1)&amp;""&amp;MID(K204,7,1)</f>
        <v xml:space="preserve">  </v>
      </c>
      <c r="J206" s="611"/>
      <c r="K206" s="626"/>
      <c r="L206" s="627"/>
      <c r="M206" s="628"/>
      <c r="N206" s="632"/>
      <c r="O206" s="633"/>
      <c r="P206" s="194"/>
      <c r="Q206" s="240"/>
      <c r="R206" s="621"/>
    </row>
    <row r="207" spans="1:18" ht="12.75" customHeight="1" x14ac:dyDescent="0.2">
      <c r="A207" s="241"/>
      <c r="B207" s="202"/>
      <c r="C207" s="202"/>
      <c r="D207" s="242"/>
      <c r="E207" s="202"/>
      <c r="F207" s="202"/>
      <c r="G207" s="202"/>
      <c r="H207" s="237"/>
      <c r="I207" s="623" t="s">
        <v>77</v>
      </c>
      <c r="J207" s="624"/>
      <c r="K207" s="629"/>
      <c r="L207" s="630"/>
      <c r="M207" s="631"/>
      <c r="N207" s="623" t="s">
        <v>77</v>
      </c>
      <c r="O207" s="624"/>
      <c r="P207" s="243" t="s">
        <v>77</v>
      </c>
      <c r="Q207" s="244"/>
      <c r="R207" s="622"/>
    </row>
    <row r="208" spans="1:18" ht="26.25" customHeight="1" x14ac:dyDescent="0.2">
      <c r="A208" s="195">
        <v>3</v>
      </c>
      <c r="B208" s="147" t="str">
        <f>IF($D208="","",VLOOKUP($D208,'Si Q priprema'!$A$11:$F$138,5))</f>
        <v/>
      </c>
      <c r="C208" s="147" t="str">
        <f>IF($D208="","",UPPER(IF(OR(VLOOKUP($D208,'Si Q priprema'!$A$11:$F$138,6)=0,VLOOKUP($D208,'Si Q priprema'!$A$11:$F$138,6)="QA"),"",VLOOKUP($D208,'Si Q priprema'!$A$11:$F$138,6))))</f>
        <v/>
      </c>
      <c r="D208" s="194"/>
      <c r="E208" s="608" t="str">
        <f>IF($D208="","",UPPER(VLOOKUP($D208,'Si Q priprema'!$A$11:$F$138,2))&amp;", "&amp;VLOOKUP($D208,'Si Q priprema'!$A$11:$F$138,3))</f>
        <v/>
      </c>
      <c r="F208" s="609"/>
      <c r="G208" s="196" t="str">
        <f>IF($D208="","",UPPER(VLOOKUP($D208,'Si Q priprema'!$A$11:$F$138,4)))</f>
        <v/>
      </c>
      <c r="H208" s="183"/>
      <c r="I208" s="610" t="str">
        <f>MID(N204,2,1)&amp;""&amp;MID(N204,1,1)&amp;" "&amp;MID(N204,5,1)&amp;""&amp;MID(N204,4,1)&amp;" "&amp;MID(N204,8,1)&amp;""&amp;MID(N204,7,1)</f>
        <v xml:space="preserve">  </v>
      </c>
      <c r="J208" s="611"/>
      <c r="K208" s="618" t="str">
        <f>MID(N206,2,1)&amp;""&amp;MID(N206,1,1)&amp;" "&amp;MID(N206,5,1)&amp;""&amp;MID(N206,4,1)&amp;" "&amp;MID(N206,8,1)&amp;""&amp;MID(N206,7,1)</f>
        <v xml:space="preserve">  </v>
      </c>
      <c r="L208" s="618"/>
      <c r="M208" s="618"/>
      <c r="N208" s="634"/>
      <c r="O208" s="635"/>
      <c r="P208" s="194"/>
      <c r="Q208" s="240"/>
      <c r="R208" s="621"/>
    </row>
    <row r="209" spans="1:18" ht="12.75" customHeight="1" x14ac:dyDescent="0.2">
      <c r="A209" s="241"/>
      <c r="B209" s="202"/>
      <c r="C209" s="202"/>
      <c r="D209" s="242"/>
      <c r="E209" s="202"/>
      <c r="F209" s="202"/>
      <c r="G209" s="202"/>
      <c r="H209" s="237"/>
      <c r="I209" s="623" t="s">
        <v>77</v>
      </c>
      <c r="J209" s="624"/>
      <c r="K209" s="623" t="s">
        <v>77</v>
      </c>
      <c r="L209" s="625"/>
      <c r="M209" s="624"/>
      <c r="N209" s="636"/>
      <c r="O209" s="637"/>
      <c r="P209" s="243" t="s">
        <v>77</v>
      </c>
      <c r="Q209" s="244"/>
      <c r="R209" s="622"/>
    </row>
    <row r="210" spans="1:18" ht="26.25" customHeight="1" x14ac:dyDescent="0.2">
      <c r="A210" s="195">
        <v>4</v>
      </c>
      <c r="B210" s="147" t="str">
        <f>IF($D210="","",VLOOKUP($D210,'Si Q priprema'!$A$11:$F$138,5))</f>
        <v/>
      </c>
      <c r="C210" s="147" t="str">
        <f>IF($D210="","",UPPER(IF(OR(VLOOKUP($D210,'Si Q priprema'!$A$11:$F$138,6)=0,VLOOKUP($D210,'Si Q priprema'!$A$11:$F$138,6)="QA"),"",VLOOKUP($D210,'Si Q priprema'!$A$11:$F$138,6))))</f>
        <v/>
      </c>
      <c r="D210" s="194"/>
      <c r="E210" s="608" t="str">
        <f>IF($D210="","",UPPER(VLOOKUP($D210,'Si Q priprema'!$A$11:$F$138,2))&amp;", "&amp;VLOOKUP($D210,'Si Q priprema'!$A$11:$F$138,3))</f>
        <v/>
      </c>
      <c r="F210" s="609"/>
      <c r="G210" s="196" t="str">
        <f>IF($D210="","",UPPER(VLOOKUP($D210,'Si Q priprema'!$A$11:$F$138,4)))</f>
        <v/>
      </c>
      <c r="H210" s="183"/>
      <c r="I210" s="610" t="str">
        <f>MID(P204,2,1)&amp;""&amp;MID(P204,1,1)&amp;" "&amp;MID(P204,5,1)&amp;""&amp;MID(P204,4,1)&amp;" "&amp;MID(P204,8,1)&amp;""&amp;MID(P204,7,1)</f>
        <v xml:space="preserve">  </v>
      </c>
      <c r="J210" s="611"/>
      <c r="K210" s="618" t="str">
        <f>MID(P206,2,1)&amp;""&amp;MID(P206,1,1)&amp;" "&amp;MID(P206,5,1)&amp;""&amp;MID(P206,4,1)&amp;" "&amp;MID(P206,8,1)&amp;""&amp;MID(P206,7,1)</f>
        <v xml:space="preserve">  </v>
      </c>
      <c r="L210" s="618"/>
      <c r="M210" s="618"/>
      <c r="N210" s="610" t="str">
        <f>MID(P208,2,1)&amp;""&amp;MID(P208,1,1)&amp;" "&amp;MID(P208,5,1)&amp;""&amp;MID(P208,4,1)&amp;" "&amp;MID(P208,8,1)&amp;""&amp;MID(P208,7,1)</f>
        <v xml:space="preserve">  </v>
      </c>
      <c r="O210" s="611"/>
      <c r="P210" s="619"/>
      <c r="Q210" s="240"/>
      <c r="R210" s="621"/>
    </row>
    <row r="211" spans="1:18" ht="12.75" customHeight="1" x14ac:dyDescent="0.2">
      <c r="A211" s="241"/>
      <c r="B211" s="202"/>
      <c r="C211" s="202"/>
      <c r="D211" s="242"/>
      <c r="E211" s="202"/>
      <c r="F211" s="202"/>
      <c r="G211" s="202"/>
      <c r="H211" s="237"/>
      <c r="I211" s="623" t="s">
        <v>77</v>
      </c>
      <c r="J211" s="624"/>
      <c r="K211" s="623" t="s">
        <v>77</v>
      </c>
      <c r="L211" s="625"/>
      <c r="M211" s="624"/>
      <c r="N211" s="623" t="s">
        <v>77</v>
      </c>
      <c r="O211" s="624"/>
      <c r="P211" s="620"/>
      <c r="Q211" s="244"/>
      <c r="R211" s="622"/>
    </row>
    <row r="212" spans="1:18" ht="12.75" customHeight="1" x14ac:dyDescent="0.2">
      <c r="A212" s="149"/>
      <c r="B212" s="149"/>
      <c r="C212" s="149"/>
      <c r="D212" s="239"/>
      <c r="E212" s="149"/>
      <c r="F212" s="149"/>
      <c r="G212" s="149"/>
      <c r="H212" s="149"/>
      <c r="I212" s="236"/>
      <c r="J212" s="236"/>
      <c r="K212" s="236"/>
      <c r="L212" s="236"/>
      <c r="M212" s="236"/>
      <c r="N212" s="236"/>
      <c r="O212" s="236"/>
      <c r="P212" s="245"/>
      <c r="Q212" s="149"/>
      <c r="R212" s="246"/>
    </row>
    <row r="213" spans="1:18" ht="12.75" customHeight="1" x14ac:dyDescent="0.2">
      <c r="D213" s="239"/>
    </row>
    <row r="214" spans="1:18" ht="26.25" customHeight="1" x14ac:dyDescent="0.2">
      <c r="A214" s="174" t="s">
        <v>128</v>
      </c>
      <c r="B214" s="190"/>
      <c r="C214" s="190"/>
      <c r="D214" s="239"/>
      <c r="E214" s="193"/>
      <c r="F214" s="193"/>
      <c r="G214" s="191"/>
      <c r="H214" s="25"/>
      <c r="I214" s="638" t="str">
        <f>IF($D215&gt;0,LEFT($E215,FIND(", ",$E215)-1),"")</f>
        <v/>
      </c>
      <c r="J214" s="639"/>
      <c r="K214" s="640" t="str">
        <f>IF($D217&gt;0,LEFT($E217,FIND(", ",$E217)-1),"")</f>
        <v/>
      </c>
      <c r="L214" s="640"/>
      <c r="M214" s="640"/>
      <c r="N214" s="638" t="str">
        <f>IF($D219&gt;0,LEFT($E219,FIND(", ",$E219)-1),"")</f>
        <v/>
      </c>
      <c r="O214" s="639"/>
      <c r="P214" s="129" t="str">
        <f>IF($D221&gt;0,LEFT($E221,FIND(", ",$E221)-1),"")</f>
        <v/>
      </c>
      <c r="Q214" s="198" t="s">
        <v>119</v>
      </c>
      <c r="R214" s="199" t="s">
        <v>120</v>
      </c>
    </row>
    <row r="215" spans="1:18" ht="26.25" customHeight="1" x14ac:dyDescent="0.2">
      <c r="A215" s="195">
        <v>1</v>
      </c>
      <c r="B215" s="147" t="str">
        <f>IF($D215="","",VLOOKUP($D215,'Si Q priprema'!$A$11:$F$138,5))</f>
        <v/>
      </c>
      <c r="C215" s="147" t="str">
        <f>IF($D215="","",UPPER(IF(OR(VLOOKUP($D215,'Si Q priprema'!$A$11:$F$138,6)=0,VLOOKUP($D215,'Si Q priprema'!$A$11:$F$138,6)="QA"),"",VLOOKUP($D215,'Si Q priprema'!$A$11:$F$138,6))))</f>
        <v/>
      </c>
      <c r="D215" s="194"/>
      <c r="E215" s="608" t="str">
        <f>IF($D215="","",UPPER(VLOOKUP($D215,'Si Q priprema'!$A$11:$F$138,2))&amp;", "&amp;VLOOKUP($D215,'Si Q priprema'!$A$11:$F$138,3))</f>
        <v/>
      </c>
      <c r="F215" s="609"/>
      <c r="G215" s="196" t="str">
        <f>IF($D215="","",UPPER(VLOOKUP($D215,'Si Q priprema'!$A$11:$F$138,4)))</f>
        <v/>
      </c>
      <c r="H215" s="208"/>
      <c r="I215" s="634"/>
      <c r="J215" s="635"/>
      <c r="K215" s="632"/>
      <c r="L215" s="641"/>
      <c r="M215" s="633"/>
      <c r="N215" s="632"/>
      <c r="O215" s="633"/>
      <c r="P215" s="194"/>
      <c r="Q215" s="240"/>
      <c r="R215" s="621"/>
    </row>
    <row r="216" spans="1:18" ht="12.75" customHeight="1" x14ac:dyDescent="0.2">
      <c r="A216" s="241"/>
      <c r="B216" s="202"/>
      <c r="C216" s="202"/>
      <c r="D216" s="242"/>
      <c r="E216" s="202"/>
      <c r="F216" s="202"/>
      <c r="G216" s="202"/>
      <c r="H216" s="202"/>
      <c r="I216" s="636"/>
      <c r="J216" s="637"/>
      <c r="K216" s="623" t="s">
        <v>77</v>
      </c>
      <c r="L216" s="625"/>
      <c r="M216" s="624"/>
      <c r="N216" s="623" t="s">
        <v>77</v>
      </c>
      <c r="O216" s="624"/>
      <c r="P216" s="243" t="s">
        <v>77</v>
      </c>
      <c r="Q216" s="244"/>
      <c r="R216" s="622"/>
    </row>
    <row r="217" spans="1:18" ht="26.25" customHeight="1" x14ac:dyDescent="0.2">
      <c r="A217" s="195">
        <v>2</v>
      </c>
      <c r="B217" s="147" t="str">
        <f>IF($D217="","",VLOOKUP($D217,'Si Q priprema'!$A$11:$F$138,5))</f>
        <v/>
      </c>
      <c r="C217" s="147" t="str">
        <f>IF($D217="","",UPPER(IF(OR(VLOOKUP($D217,'Si Q priprema'!$A$11:$F$138,6)=0,VLOOKUP($D217,'Si Q priprema'!$A$11:$F$138,6)="QA"),"",VLOOKUP($D217,'Si Q priprema'!$A$11:$F$138,6))))</f>
        <v/>
      </c>
      <c r="D217" s="194"/>
      <c r="E217" s="608" t="str">
        <f>IF($D217="","",UPPER(VLOOKUP($D217,'Si Q priprema'!$A$11:$F$138,2))&amp;", "&amp;VLOOKUP($D217,'Si Q priprema'!$A$11:$F$138,3))</f>
        <v/>
      </c>
      <c r="F217" s="609"/>
      <c r="G217" s="196" t="str">
        <f>IF($D217="","",UPPER(VLOOKUP($D217,'Si Q priprema'!$A$11:$F$138,4)))</f>
        <v/>
      </c>
      <c r="H217" s="183"/>
      <c r="I217" s="610" t="str">
        <f>MID(K215,2,1)&amp;""&amp;MID(K215,1,1)&amp;" "&amp;MID(K215,5,1)&amp;""&amp;MID(K215,4,1)&amp;" "&amp;MID(K215,8,1)&amp;""&amp;MID(K215,7,1)</f>
        <v xml:space="preserve">  </v>
      </c>
      <c r="J217" s="611"/>
      <c r="K217" s="626"/>
      <c r="L217" s="627"/>
      <c r="M217" s="628"/>
      <c r="N217" s="632"/>
      <c r="O217" s="633"/>
      <c r="P217" s="194"/>
      <c r="Q217" s="240"/>
      <c r="R217" s="621"/>
    </row>
    <row r="218" spans="1:18" ht="12.75" customHeight="1" x14ac:dyDescent="0.2">
      <c r="A218" s="241"/>
      <c r="B218" s="202"/>
      <c r="C218" s="202"/>
      <c r="D218" s="242"/>
      <c r="E218" s="202"/>
      <c r="F218" s="202"/>
      <c r="G218" s="202"/>
      <c r="H218" s="237"/>
      <c r="I218" s="623" t="s">
        <v>77</v>
      </c>
      <c r="J218" s="624"/>
      <c r="K218" s="629"/>
      <c r="L218" s="630"/>
      <c r="M218" s="631"/>
      <c r="N218" s="623" t="s">
        <v>77</v>
      </c>
      <c r="O218" s="624"/>
      <c r="P218" s="243" t="s">
        <v>77</v>
      </c>
      <c r="Q218" s="244"/>
      <c r="R218" s="622"/>
    </row>
    <row r="219" spans="1:18" ht="26.25" customHeight="1" x14ac:dyDescent="0.2">
      <c r="A219" s="195">
        <v>3</v>
      </c>
      <c r="B219" s="147" t="str">
        <f>IF($D219="","",VLOOKUP($D219,'Si Q priprema'!$A$11:$F$138,5))</f>
        <v/>
      </c>
      <c r="C219" s="147" t="str">
        <f>IF($D219="","",UPPER(IF(OR(VLOOKUP($D219,'Si Q priprema'!$A$11:$F$138,6)=0,VLOOKUP($D219,'Si Q priprema'!$A$11:$F$138,6)="QA"),"",VLOOKUP($D219,'Si Q priprema'!$A$11:$F$138,6))))</f>
        <v/>
      </c>
      <c r="D219" s="194"/>
      <c r="E219" s="608" t="str">
        <f>IF($D219="","",UPPER(VLOOKUP($D219,'Si Q priprema'!$A$11:$F$138,2))&amp;", "&amp;VLOOKUP($D219,'Si Q priprema'!$A$11:$F$138,3))</f>
        <v/>
      </c>
      <c r="F219" s="609"/>
      <c r="G219" s="196" t="str">
        <f>IF($D219="","",UPPER(VLOOKUP($D219,'Si Q priprema'!$A$11:$F$138,4)))</f>
        <v/>
      </c>
      <c r="H219" s="183"/>
      <c r="I219" s="610" t="str">
        <f>MID(N215,2,1)&amp;""&amp;MID(N215,1,1)&amp;" "&amp;MID(N215,5,1)&amp;""&amp;MID(N215,4,1)&amp;" "&amp;MID(N215,8,1)&amp;""&amp;MID(N215,7,1)</f>
        <v xml:space="preserve">  </v>
      </c>
      <c r="J219" s="611"/>
      <c r="K219" s="618" t="str">
        <f>MID(N217,2,1)&amp;""&amp;MID(N217,1,1)&amp;" "&amp;MID(N217,5,1)&amp;""&amp;MID(N217,4,1)&amp;" "&amp;MID(N217,8,1)&amp;""&amp;MID(N217,7,1)</f>
        <v xml:space="preserve">  </v>
      </c>
      <c r="L219" s="618"/>
      <c r="M219" s="618"/>
      <c r="N219" s="634"/>
      <c r="O219" s="635"/>
      <c r="P219" s="194"/>
      <c r="Q219" s="240"/>
      <c r="R219" s="621"/>
    </row>
    <row r="220" spans="1:18" ht="12.75" customHeight="1" x14ac:dyDescent="0.2">
      <c r="A220" s="241"/>
      <c r="B220" s="202"/>
      <c r="C220" s="202"/>
      <c r="D220" s="242"/>
      <c r="E220" s="202"/>
      <c r="F220" s="202"/>
      <c r="G220" s="202"/>
      <c r="H220" s="237"/>
      <c r="I220" s="623" t="s">
        <v>77</v>
      </c>
      <c r="J220" s="624"/>
      <c r="K220" s="623" t="s">
        <v>77</v>
      </c>
      <c r="L220" s="625"/>
      <c r="M220" s="624"/>
      <c r="N220" s="636"/>
      <c r="O220" s="637"/>
      <c r="P220" s="243" t="s">
        <v>77</v>
      </c>
      <c r="Q220" s="244"/>
      <c r="R220" s="622"/>
    </row>
    <row r="221" spans="1:18" ht="26.25" customHeight="1" x14ac:dyDescent="0.2">
      <c r="A221" s="195">
        <v>4</v>
      </c>
      <c r="B221" s="147" t="str">
        <f>IF($D221="","",VLOOKUP($D221,'Si Q priprema'!$A$11:$F$138,5))</f>
        <v/>
      </c>
      <c r="C221" s="147" t="str">
        <f>IF($D221="","",UPPER(IF(OR(VLOOKUP($D221,'Si Q priprema'!$A$11:$F$138,6)=0,VLOOKUP($D221,'Si Q priprema'!$A$11:$F$138,6)="QA"),"",VLOOKUP($D221,'Si Q priprema'!$A$11:$F$138,6))))</f>
        <v/>
      </c>
      <c r="D221" s="194"/>
      <c r="E221" s="608" t="str">
        <f>IF($D221="","",UPPER(VLOOKUP($D221,'Si Q priprema'!$A$11:$F$138,2))&amp;", "&amp;VLOOKUP($D221,'Si Q priprema'!$A$11:$F$138,3))</f>
        <v/>
      </c>
      <c r="F221" s="609"/>
      <c r="G221" s="196" t="str">
        <f>IF($D221="","",UPPER(VLOOKUP($D221,'Si Q priprema'!$A$11:$F$138,4)))</f>
        <v/>
      </c>
      <c r="H221" s="183"/>
      <c r="I221" s="610" t="str">
        <f>MID(P215,2,1)&amp;""&amp;MID(P215,1,1)&amp;" "&amp;MID(P215,5,1)&amp;""&amp;MID(P215,4,1)&amp;" "&amp;MID(P215,8,1)&amp;""&amp;MID(P215,7,1)</f>
        <v xml:space="preserve">  </v>
      </c>
      <c r="J221" s="611"/>
      <c r="K221" s="618" t="str">
        <f>MID(P217,2,1)&amp;""&amp;MID(P217,1,1)&amp;" "&amp;MID(P217,5,1)&amp;""&amp;MID(P217,4,1)&amp;" "&amp;MID(P217,8,1)&amp;""&amp;MID(P217,7,1)</f>
        <v xml:space="preserve">  </v>
      </c>
      <c r="L221" s="618"/>
      <c r="M221" s="618"/>
      <c r="N221" s="610" t="str">
        <f>MID(P219,2,1)&amp;""&amp;MID(P219,1,1)&amp;" "&amp;MID(P219,5,1)&amp;""&amp;MID(P219,4,1)&amp;" "&amp;MID(P219,8,1)&amp;""&amp;MID(P219,7,1)</f>
        <v xml:space="preserve">  </v>
      </c>
      <c r="O221" s="611"/>
      <c r="P221" s="619"/>
      <c r="Q221" s="240"/>
      <c r="R221" s="621"/>
    </row>
    <row r="222" spans="1:18" ht="12.75" customHeight="1" x14ac:dyDescent="0.2">
      <c r="A222" s="241"/>
      <c r="B222" s="202"/>
      <c r="C222" s="202"/>
      <c r="D222" s="242"/>
      <c r="E222" s="202"/>
      <c r="F222" s="202"/>
      <c r="G222" s="202"/>
      <c r="H222" s="237"/>
      <c r="I222" s="623" t="s">
        <v>77</v>
      </c>
      <c r="J222" s="624"/>
      <c r="K222" s="623" t="s">
        <v>77</v>
      </c>
      <c r="L222" s="625"/>
      <c r="M222" s="624"/>
      <c r="N222" s="623" t="s">
        <v>77</v>
      </c>
      <c r="O222" s="624"/>
      <c r="P222" s="620"/>
      <c r="Q222" s="244"/>
      <c r="R222" s="622"/>
    </row>
    <row r="223" spans="1:18" ht="12.75" customHeight="1" x14ac:dyDescent="0.2"/>
    <row r="224" spans="1:18" ht="12.75" customHeight="1" x14ac:dyDescent="0.2">
      <c r="A224" s="30"/>
      <c r="B224" s="13"/>
      <c r="C224" s="13"/>
      <c r="D224" s="13"/>
      <c r="E224" s="13"/>
      <c r="F224" s="13"/>
      <c r="G224" s="13"/>
      <c r="H224" s="13"/>
      <c r="I224" s="13"/>
      <c r="J224" s="13"/>
      <c r="K224" s="13"/>
      <c r="L224" s="13"/>
      <c r="M224" s="13"/>
      <c r="N224" s="13"/>
      <c r="O224" s="13"/>
      <c r="P224" s="13"/>
      <c r="Q224" s="13"/>
      <c r="R224" s="37"/>
    </row>
    <row r="225" spans="1:18" ht="12" customHeight="1" x14ac:dyDescent="0.2">
      <c r="A225" s="44" t="s">
        <v>76</v>
      </c>
      <c r="B225" s="45"/>
      <c r="C225" s="46"/>
      <c r="D225" s="47" t="s">
        <v>14</v>
      </c>
      <c r="E225" s="45" t="s">
        <v>15</v>
      </c>
      <c r="F225" s="48"/>
      <c r="G225" s="52"/>
      <c r="H225" s="52"/>
      <c r="I225" s="60"/>
      <c r="J225" s="49" t="s">
        <v>14</v>
      </c>
      <c r="K225" s="172" t="s">
        <v>109</v>
      </c>
      <c r="L225" s="50"/>
      <c r="M225" s="50"/>
      <c r="N225" s="45"/>
      <c r="O225" s="44" t="s">
        <v>16</v>
      </c>
      <c r="P225" s="203"/>
      <c r="Q225" s="614" t="str">
        <f>$Q$54</f>
        <v xml:space="preserve">22.04.2016./8:20 h </v>
      </c>
      <c r="R225" s="615"/>
    </row>
    <row r="226" spans="1:18" ht="12" customHeight="1" x14ac:dyDescent="0.2">
      <c r="A226" s="51" t="s">
        <v>17</v>
      </c>
      <c r="B226" s="52"/>
      <c r="C226" s="53"/>
      <c r="D226" s="54">
        <v>17</v>
      </c>
      <c r="E226" s="169" t="str">
        <f>IF(VLOOKUP($D226,'Si Q priprema'!$A$11:$G$50,5)&gt;0,UPPER(VLOOKUP($D226,'Si Q priprema'!$A$11:$G$50,2))&amp;", "&amp;(VLOOKUP($D226,'Si Q priprema'!$A$11:$G$50,3))&amp;" ["&amp;(VLOOKUP($D226,'Si Q priprema'!$A$11:$G$50,5))&amp;"]","")</f>
        <v>BULOVIĆ, Matija [105]</v>
      </c>
      <c r="F226" s="54">
        <v>25</v>
      </c>
      <c r="G226" s="616" t="str">
        <f>IF(VLOOKUP($F226,'Si Q priprema'!$A$11:$G$50,5)&gt;0,UPPER(VLOOKUP($F226,'Si Q priprema'!$A$11:$G$50,2))&amp;", "&amp;(VLOOKUP($F226,'Si Q priprema'!$A$11:$G$50,3))&amp;" ["&amp;(VLOOKUP($F226,'Si Q priprema'!$A$11:$G$50,5))&amp;"]","")</f>
        <v/>
      </c>
      <c r="H226" s="616"/>
      <c r="I226" s="617"/>
      <c r="J226" s="188">
        <v>1</v>
      </c>
      <c r="K226" s="58">
        <f>K55</f>
        <v>0</v>
      </c>
      <c r="L226" s="58"/>
      <c r="M226" s="58"/>
      <c r="N226" s="58"/>
      <c r="O226" s="200" t="s">
        <v>19</v>
      </c>
      <c r="Q226" s="52"/>
      <c r="R226" s="60"/>
    </row>
    <row r="227" spans="1:18" ht="12" customHeight="1" x14ac:dyDescent="0.2">
      <c r="A227" s="603" t="str">
        <f>Pocetna!$B$14</f>
        <v>01.04.2016.</v>
      </c>
      <c r="B227" s="604"/>
      <c r="C227" s="605"/>
      <c r="D227" s="54">
        <v>18</v>
      </c>
      <c r="E227" s="169" t="str">
        <f>IF(VLOOKUP($D227,'Si Q priprema'!$A$11:$G$50,5)&gt;0,UPPER(VLOOKUP($D227,'Si Q priprema'!$A$11:$G$50,2))&amp;", "&amp;(VLOOKUP($D227,'Si Q priprema'!$A$11:$G$50,3))&amp;" ["&amp;(VLOOKUP($D227,'Si Q priprema'!$A$11:$G$50,5))&amp;"]","")</f>
        <v>JAMIĆ, Jurica [105]</v>
      </c>
      <c r="F227" s="54">
        <v>26</v>
      </c>
      <c r="G227" s="606" t="str">
        <f>IF(VLOOKUP($F227,'Si Q priprema'!$A$11:$G$50,5)&gt;0,UPPER(VLOOKUP($F227,'Si Q priprema'!$A$11:$G$50,2))&amp;", "&amp;(VLOOKUP($F227,'Si Q priprema'!$A$11:$G$50,3))&amp;" ["&amp;(VLOOKUP($F227,'Si Q priprema'!$A$11:$G$50,5))&amp;"]","")</f>
        <v/>
      </c>
      <c r="H227" s="606"/>
      <c r="I227" s="607"/>
      <c r="J227" s="188">
        <v>2</v>
      </c>
      <c r="K227" s="58">
        <f>K56</f>
        <v>0</v>
      </c>
      <c r="L227" s="58"/>
      <c r="M227" s="58"/>
      <c r="N227" s="58"/>
      <c r="O227" s="209" t="str">
        <f>$O$56</f>
        <v>Bye</v>
      </c>
      <c r="P227" s="202"/>
      <c r="Q227" s="62"/>
      <c r="R227" s="63"/>
    </row>
    <row r="228" spans="1:18" ht="12" customHeight="1" x14ac:dyDescent="0.2">
      <c r="A228" s="135" t="s">
        <v>23</v>
      </c>
      <c r="B228" s="40"/>
      <c r="C228" s="65"/>
      <c r="D228" s="54">
        <v>19</v>
      </c>
      <c r="E228" s="169" t="str">
        <f>IF(VLOOKUP($D228,'Si Q priprema'!$A$11:$G$50,5)&gt;0,UPPER(VLOOKUP($D228,'Si Q priprema'!$A$11:$G$50,2))&amp;", "&amp;(VLOOKUP($D228,'Si Q priprema'!$A$11:$G$50,3))&amp;" ["&amp;(VLOOKUP($D228,'Si Q priprema'!$A$11:$G$50,5))&amp;"]","")</f>
        <v>JURLINA, Luka [105]</v>
      </c>
      <c r="F228" s="54">
        <v>27</v>
      </c>
      <c r="G228" s="606" t="str">
        <f>IF(VLOOKUP($F228,'Si Q priprema'!$A$11:$G$50,5)&gt;0,UPPER(VLOOKUP($F228,'Si Q priprema'!$A$11:$G$50,2))&amp;", "&amp;(VLOOKUP($F228,'Si Q priprema'!$A$11:$G$50,3))&amp;" ["&amp;(VLOOKUP($F228,'Si Q priprema'!$A$11:$G$50,5))&amp;"]","")</f>
        <v/>
      </c>
      <c r="H228" s="606"/>
      <c r="I228" s="607"/>
      <c r="J228" s="188">
        <f>J57</f>
        <v>0</v>
      </c>
      <c r="K228" s="58">
        <f>K57</f>
        <v>0</v>
      </c>
      <c r="L228" s="58"/>
      <c r="M228" s="58"/>
      <c r="N228" s="58"/>
      <c r="O228" s="200" t="s">
        <v>22</v>
      </c>
      <c r="Q228" s="52"/>
      <c r="R228" s="60"/>
    </row>
    <row r="229" spans="1:18" ht="12" customHeight="1" x14ac:dyDescent="0.2">
      <c r="A229" s="64" t="s">
        <v>26</v>
      </c>
      <c r="B229" s="58"/>
      <c r="C229" s="65">
        <f>$B$11</f>
        <v>44</v>
      </c>
      <c r="D229" s="54">
        <v>20</v>
      </c>
      <c r="E229" s="169" t="str">
        <f>IF(VLOOKUP($D229,'Si Q priprema'!$A$11:$G$50,5)&gt;0,UPPER(VLOOKUP($D229,'Si Q priprema'!$A$11:$G$50,2))&amp;", "&amp;(VLOOKUP($D229,'Si Q priprema'!$A$11:$G$50,3))&amp;" ["&amp;(VLOOKUP($D229,'Si Q priprema'!$A$11:$G$50,5))&amp;"]","")</f>
        <v>MUŠOVIĆ, Denis [105]</v>
      </c>
      <c r="F229" s="54">
        <v>28</v>
      </c>
      <c r="G229" s="606" t="str">
        <f>IF(VLOOKUP($F229,'Si Q priprema'!$A$11:$G$50,5)&gt;0,UPPER(VLOOKUP($F229,'Si Q priprema'!$A$11:$G$50,2))&amp;", "&amp;(VLOOKUP($F229,'Si Q priprema'!$A$11:$G$50,3))&amp;" ["&amp;(VLOOKUP($F229,'Si Q priprema'!$A$11:$G$50,5))&amp;"]","")</f>
        <v/>
      </c>
      <c r="H229" s="606"/>
      <c r="I229" s="607"/>
      <c r="J229" s="188">
        <f>J58</f>
        <v>0</v>
      </c>
      <c r="K229" s="58">
        <f>K58</f>
        <v>0</v>
      </c>
      <c r="L229" s="58"/>
      <c r="M229" s="58"/>
      <c r="N229" s="185"/>
      <c r="O229" s="184" t="str">
        <f>$O$58</f>
        <v xml:space="preserve">KRSTANOVIĆ Luka </v>
      </c>
      <c r="Q229" s="58"/>
      <c r="R229" s="56"/>
    </row>
    <row r="230" spans="1:18" ht="12" customHeight="1" x14ac:dyDescent="0.2">
      <c r="A230" s="64" t="s">
        <v>18</v>
      </c>
      <c r="B230" s="58"/>
      <c r="C230" s="186">
        <f>$C$59</f>
        <v>105</v>
      </c>
      <c r="D230" s="54">
        <v>21</v>
      </c>
      <c r="E230" s="169" t="str">
        <f>IF(VLOOKUP($D230,'Si Q priprema'!$A$11:$G$50,5)&gt;0,UPPER(VLOOKUP($D230,'Si Q priprema'!$A$11:$G$50,2))&amp;", "&amp;(VLOOKUP($D230,'Si Q priprema'!$A$11:$G$50,3))&amp;" ["&amp;(VLOOKUP($D230,'Si Q priprema'!$A$11:$G$50,5))&amp;"]","")</f>
        <v/>
      </c>
      <c r="F230" s="54">
        <v>29</v>
      </c>
      <c r="G230" s="606" t="str">
        <f>IF(VLOOKUP($F230,'Si Q priprema'!$A$11:$G$50,5)&gt;0,UPPER(VLOOKUP($F230,'Si Q priprema'!$A$11:$G$50,2))&amp;", "&amp;(VLOOKUP($F230,'Si Q priprema'!$A$11:$G$50,3))&amp;" ["&amp;(VLOOKUP($F230,'Si Q priprema'!$A$11:$G$50,5))&amp;"]","")</f>
        <v/>
      </c>
      <c r="H230" s="606"/>
      <c r="I230" s="607"/>
      <c r="J230" s="188">
        <f>J59</f>
        <v>0</v>
      </c>
      <c r="K230" s="58">
        <f>K59</f>
        <v>0</v>
      </c>
      <c r="L230" s="58"/>
      <c r="M230" s="58"/>
      <c r="N230" s="185"/>
      <c r="O230" s="61"/>
      <c r="P230" s="202"/>
      <c r="Q230" s="62"/>
      <c r="R230" s="63"/>
    </row>
    <row r="231" spans="1:18" ht="12" customHeight="1" x14ac:dyDescent="0.2">
      <c r="A231" s="135" t="s">
        <v>24</v>
      </c>
      <c r="B231" s="58"/>
      <c r="C231" s="65"/>
      <c r="D231" s="54">
        <v>22</v>
      </c>
      <c r="E231" s="171" t="str">
        <f>IF(VLOOKUP($D231,'Si Q priprema'!$A$11:$G$50,5)&gt;0,UPPER(VLOOKUP($D231,'Si Q priprema'!$A$11:$G$50,2))&amp;", "&amp;(VLOOKUP($D231,'Si Q priprema'!$A$11:$G$50,3))&amp;" ["&amp;(VLOOKUP($D231,'Si Q priprema'!$A$11:$G$50,5))&amp;"]","")</f>
        <v/>
      </c>
      <c r="F231" s="188">
        <v>30</v>
      </c>
      <c r="G231" s="606" t="str">
        <f>IF(VLOOKUP($F231,'Si Q priprema'!$A$11:$G$50,5)&gt;0,UPPER(VLOOKUP($F231,'Si Q priprema'!$A$11:$G$50,2))&amp;", "&amp;(VLOOKUP($F231,'Si Q priprema'!$A$11:$G$50,3))&amp;" ["&amp;(VLOOKUP($F231,'Si Q priprema'!$A$11:$G$50,5))&amp;"]","")</f>
        <v/>
      </c>
      <c r="H231" s="606"/>
      <c r="I231" s="607"/>
      <c r="J231" s="523" t="s">
        <v>21</v>
      </c>
      <c r="K231" s="52"/>
      <c r="L231" s="52"/>
      <c r="M231" s="52"/>
      <c r="N231" s="67"/>
      <c r="O231" s="200" t="s">
        <v>20</v>
      </c>
      <c r="Q231" s="52"/>
      <c r="R231" s="60"/>
    </row>
    <row r="232" spans="1:18" ht="12" customHeight="1" x14ac:dyDescent="0.2">
      <c r="A232" s="64" t="s">
        <v>26</v>
      </c>
      <c r="B232" s="58"/>
      <c r="C232" s="65">
        <f>$B$11</f>
        <v>44</v>
      </c>
      <c r="D232" s="54">
        <v>23</v>
      </c>
      <c r="E232" s="171" t="str">
        <f>IF(VLOOKUP($D232,'Si Q priprema'!$A$11:$G$50,5)&gt;0,UPPER(VLOOKUP($D232,'Si Q priprema'!$A$11:$G$50,2))&amp;", "&amp;(VLOOKUP($D232,'Si Q priprema'!$A$11:$G$50,3))&amp;" ["&amp;(VLOOKUP($D232,'Si Q priprema'!$A$11:$G$50,5))&amp;"]","")</f>
        <v/>
      </c>
      <c r="F232" s="188">
        <v>31</v>
      </c>
      <c r="G232" s="606" t="str">
        <f>IF(VLOOKUP($F232,'Si Q priprema'!$A$11:$G$50,5)&gt;0,UPPER(VLOOKUP($F232,'Si Q priprema'!$A$11:$G$50,2))&amp;", "&amp;(VLOOKUP($F232,'Si Q priprema'!$A$11:$G$50,3))&amp;" ["&amp;(VLOOKUP($F232,'Si Q priprema'!$A$11:$G$50,5))&amp;"]","")</f>
        <v/>
      </c>
      <c r="H232" s="606"/>
      <c r="I232" s="607"/>
      <c r="J232" s="524" t="str">
        <f>Pocetna!$F$14</f>
        <v xml:space="preserve">Boris Lumpert </v>
      </c>
      <c r="K232" s="58"/>
      <c r="L232" s="58"/>
      <c r="M232" s="58"/>
      <c r="N232" s="58"/>
      <c r="O232" s="64"/>
      <c r="Q232" s="58"/>
      <c r="R232" s="56"/>
    </row>
    <row r="233" spans="1:18" ht="12" customHeight="1" thickBot="1" x14ac:dyDescent="0.25">
      <c r="A233" s="61" t="s">
        <v>18</v>
      </c>
      <c r="B233" s="62"/>
      <c r="C233" s="187" t="str">
        <f>$C$62</f>
        <v>NR</v>
      </c>
      <c r="D233" s="527">
        <v>24</v>
      </c>
      <c r="E233" s="170" t="str">
        <f>IF(VLOOKUP($D233,'Si Q priprema'!$A$11:$G$50,5)&gt;0,UPPER(VLOOKUP($D233,'Si Q priprema'!$A$11:$G$50,2))&amp;", "&amp;(VLOOKUP($D233,'Si Q priprema'!$A$11:$G$50,3))&amp;" ["&amp;(VLOOKUP($D233,'Si Q priprema'!$A$11:$G$50,5))&amp;"]","")</f>
        <v/>
      </c>
      <c r="F233" s="69">
        <v>32</v>
      </c>
      <c r="G233" s="612" t="str">
        <f>IF(VLOOKUP($F233,'Si Q priprema'!$A$11:$G$50,5)&gt;0,UPPER(VLOOKUP($F233,'Si Q priprema'!$A$11:$G$50,2))&amp;", "&amp;(VLOOKUP($F233,'Si Q priprema'!$A$11:$G$50,3))&amp;" ["&amp;(VLOOKUP($F233,'Si Q priprema'!$A$11:$G$50,5))&amp;"]","")</f>
        <v/>
      </c>
      <c r="H233" s="612"/>
      <c r="I233" s="613"/>
      <c r="J233" s="525">
        <f>Pocetna!$F$15</f>
        <v>0</v>
      </c>
      <c r="K233" s="62"/>
      <c r="L233" s="62"/>
      <c r="M233" s="62"/>
      <c r="N233" s="62"/>
      <c r="O233" s="61" t="str">
        <f>Pocetna!$F$12</f>
        <v>Mladen Šančić</v>
      </c>
      <c r="P233" s="202"/>
      <c r="Q233" s="62"/>
      <c r="R233" s="63"/>
    </row>
  </sheetData>
  <sheetProtection sort="0" autoFilter="0"/>
  <mergeCells count="584">
    <mergeCell ref="R136:R137"/>
    <mergeCell ref="E138:F138"/>
    <mergeCell ref="I138:J138"/>
    <mergeCell ref="K138:M139"/>
    <mergeCell ref="N138:O138"/>
    <mergeCell ref="R138:R139"/>
    <mergeCell ref="I139:J139"/>
    <mergeCell ref="N139:O139"/>
    <mergeCell ref="I135:J135"/>
    <mergeCell ref="K135:M135"/>
    <mergeCell ref="N135:O135"/>
    <mergeCell ref="E136:F136"/>
    <mergeCell ref="I136:J137"/>
    <mergeCell ref="K136:M136"/>
    <mergeCell ref="N136:O136"/>
    <mergeCell ref="K137:M137"/>
    <mergeCell ref="N137:O137"/>
    <mergeCell ref="R129:R130"/>
    <mergeCell ref="E131:F131"/>
    <mergeCell ref="I131:J131"/>
    <mergeCell ref="K131:M131"/>
    <mergeCell ref="N131:O131"/>
    <mergeCell ref="P131:P132"/>
    <mergeCell ref="R131:R132"/>
    <mergeCell ref="I132:J132"/>
    <mergeCell ref="K132:M132"/>
    <mergeCell ref="N132:O132"/>
    <mergeCell ref="E129:F129"/>
    <mergeCell ref="I129:J129"/>
    <mergeCell ref="K129:M129"/>
    <mergeCell ref="N129:O130"/>
    <mergeCell ref="I130:J130"/>
    <mergeCell ref="K130:M130"/>
    <mergeCell ref="R125:R126"/>
    <mergeCell ref="E127:F127"/>
    <mergeCell ref="I127:J127"/>
    <mergeCell ref="K127:M128"/>
    <mergeCell ref="N127:O127"/>
    <mergeCell ref="R127:R128"/>
    <mergeCell ref="I128:J128"/>
    <mergeCell ref="N128:O128"/>
    <mergeCell ref="E125:F125"/>
    <mergeCell ref="I125:J126"/>
    <mergeCell ref="K125:M125"/>
    <mergeCell ref="N125:O125"/>
    <mergeCell ref="K126:M126"/>
    <mergeCell ref="N126:O126"/>
    <mergeCell ref="K120:M120"/>
    <mergeCell ref="N120:O120"/>
    <mergeCell ref="I124:J124"/>
    <mergeCell ref="K124:M124"/>
    <mergeCell ref="N124:O124"/>
    <mergeCell ref="G118:I118"/>
    <mergeCell ref="G119:I119"/>
    <mergeCell ref="E120:F120"/>
    <mergeCell ref="I120:J120"/>
    <mergeCell ref="G114:I114"/>
    <mergeCell ref="G115:I115"/>
    <mergeCell ref="G116:I116"/>
    <mergeCell ref="G117:I117"/>
    <mergeCell ref="Q111:R111"/>
    <mergeCell ref="G112:I112"/>
    <mergeCell ref="A113:C113"/>
    <mergeCell ref="G113:I113"/>
    <mergeCell ref="R105:R106"/>
    <mergeCell ref="E107:F107"/>
    <mergeCell ref="I107:J107"/>
    <mergeCell ref="K107:M107"/>
    <mergeCell ref="N107:O107"/>
    <mergeCell ref="P107:P108"/>
    <mergeCell ref="R107:R108"/>
    <mergeCell ref="I108:J108"/>
    <mergeCell ref="K108:M108"/>
    <mergeCell ref="N108:O108"/>
    <mergeCell ref="E105:F105"/>
    <mergeCell ref="I105:J105"/>
    <mergeCell ref="K105:M105"/>
    <mergeCell ref="N105:O106"/>
    <mergeCell ref="I106:J106"/>
    <mergeCell ref="K106:M106"/>
    <mergeCell ref="N101:O101"/>
    <mergeCell ref="R101:R102"/>
    <mergeCell ref="N102:O102"/>
    <mergeCell ref="E103:F103"/>
    <mergeCell ref="I103:J103"/>
    <mergeCell ref="K103:M104"/>
    <mergeCell ref="N103:O103"/>
    <mergeCell ref="R103:R104"/>
    <mergeCell ref="I104:J104"/>
    <mergeCell ref="N104:O104"/>
    <mergeCell ref="E101:F101"/>
    <mergeCell ref="I101:J102"/>
    <mergeCell ref="K101:M101"/>
    <mergeCell ref="K102:M102"/>
    <mergeCell ref="I100:J100"/>
    <mergeCell ref="K100:M100"/>
    <mergeCell ref="N100:O100"/>
    <mergeCell ref="E15:F15"/>
    <mergeCell ref="E96:F96"/>
    <mergeCell ref="K92:M93"/>
    <mergeCell ref="N92:O92"/>
    <mergeCell ref="I93:J93"/>
    <mergeCell ref="N93:O93"/>
    <mergeCell ref="N90:O90"/>
    <mergeCell ref="G60:I60"/>
    <mergeCell ref="G61:I61"/>
    <mergeCell ref="E94:F94"/>
    <mergeCell ref="E92:F92"/>
    <mergeCell ref="I82:J82"/>
    <mergeCell ref="N82:O82"/>
    <mergeCell ref="E79:F79"/>
    <mergeCell ref="I79:J80"/>
    <mergeCell ref="K79:M79"/>
    <mergeCell ref="N79:O79"/>
    <mergeCell ref="K80:M80"/>
    <mergeCell ref="N80:O80"/>
    <mergeCell ref="E74:F74"/>
    <mergeCell ref="I74:J74"/>
    <mergeCell ref="P96:P97"/>
    <mergeCell ref="R96:R97"/>
    <mergeCell ref="I97:J97"/>
    <mergeCell ref="K97:M97"/>
    <mergeCell ref="N97:O97"/>
    <mergeCell ref="I96:J96"/>
    <mergeCell ref="K96:M96"/>
    <mergeCell ref="N96:O96"/>
    <mergeCell ref="R92:R93"/>
    <mergeCell ref="I94:J94"/>
    <mergeCell ref="K94:M94"/>
    <mergeCell ref="N94:O95"/>
    <mergeCell ref="R94:R95"/>
    <mergeCell ref="I95:J95"/>
    <mergeCell ref="K95:M95"/>
    <mergeCell ref="I92:J92"/>
    <mergeCell ref="R90:R91"/>
    <mergeCell ref="K91:M91"/>
    <mergeCell ref="N91:O91"/>
    <mergeCell ref="A56:C56"/>
    <mergeCell ref="N86:O86"/>
    <mergeCell ref="I89:J89"/>
    <mergeCell ref="K89:M89"/>
    <mergeCell ref="N89:O89"/>
    <mergeCell ref="G58:I58"/>
    <mergeCell ref="G59:I59"/>
    <mergeCell ref="R83:R84"/>
    <mergeCell ref="R79:R80"/>
    <mergeCell ref="R81:R82"/>
    <mergeCell ref="N78:O78"/>
    <mergeCell ref="R72:R73"/>
    <mergeCell ref="R68:R69"/>
    <mergeCell ref="N85:O85"/>
    <mergeCell ref="P85:P86"/>
    <mergeCell ref="R85:R86"/>
    <mergeCell ref="N83:O84"/>
    <mergeCell ref="E81:F81"/>
    <mergeCell ref="I81:J81"/>
    <mergeCell ref="K81:M82"/>
    <mergeCell ref="N81:O81"/>
    <mergeCell ref="E6:F6"/>
    <mergeCell ref="E11:F11"/>
    <mergeCell ref="K90:M90"/>
    <mergeCell ref="E17:F17"/>
    <mergeCell ref="G55:I55"/>
    <mergeCell ref="E13:F13"/>
    <mergeCell ref="E90:F90"/>
    <mergeCell ref="I90:J91"/>
    <mergeCell ref="G56:I56"/>
    <mergeCell ref="G57:I57"/>
    <mergeCell ref="G62:I62"/>
    <mergeCell ref="I78:J78"/>
    <mergeCell ref="K78:M78"/>
    <mergeCell ref="I67:J67"/>
    <mergeCell ref="E85:F85"/>
    <mergeCell ref="I85:J85"/>
    <mergeCell ref="K85:M85"/>
    <mergeCell ref="I86:J86"/>
    <mergeCell ref="K86:M86"/>
    <mergeCell ref="E83:F83"/>
    <mergeCell ref="I83:J83"/>
    <mergeCell ref="K83:M83"/>
    <mergeCell ref="I84:J84"/>
    <mergeCell ref="K84:M84"/>
    <mergeCell ref="K74:M74"/>
    <mergeCell ref="N74:O74"/>
    <mergeCell ref="P74:P75"/>
    <mergeCell ref="R74:R75"/>
    <mergeCell ref="I75:J75"/>
    <mergeCell ref="K75:M75"/>
    <mergeCell ref="N75:O75"/>
    <mergeCell ref="E72:F72"/>
    <mergeCell ref="I72:J72"/>
    <mergeCell ref="K72:M72"/>
    <mergeCell ref="N72:O73"/>
    <mergeCell ref="I73:J73"/>
    <mergeCell ref="K73:M73"/>
    <mergeCell ref="E70:F70"/>
    <mergeCell ref="I70:J70"/>
    <mergeCell ref="K70:M71"/>
    <mergeCell ref="N70:O70"/>
    <mergeCell ref="R70:R71"/>
    <mergeCell ref="I71:J71"/>
    <mergeCell ref="N71:O71"/>
    <mergeCell ref="K67:M67"/>
    <mergeCell ref="N67:O67"/>
    <mergeCell ref="E68:F68"/>
    <mergeCell ref="I68:J69"/>
    <mergeCell ref="K68:M68"/>
    <mergeCell ref="N68:O68"/>
    <mergeCell ref="K69:M69"/>
    <mergeCell ref="N69:O69"/>
    <mergeCell ref="E63:F63"/>
    <mergeCell ref="I63:J63"/>
    <mergeCell ref="K63:M63"/>
    <mergeCell ref="N63:O63"/>
    <mergeCell ref="R48:R49"/>
    <mergeCell ref="E50:F50"/>
    <mergeCell ref="I50:J50"/>
    <mergeCell ref="K50:M50"/>
    <mergeCell ref="N50:O50"/>
    <mergeCell ref="P50:P51"/>
    <mergeCell ref="R50:R51"/>
    <mergeCell ref="I51:J51"/>
    <mergeCell ref="K51:M51"/>
    <mergeCell ref="N51:O51"/>
    <mergeCell ref="E48:F48"/>
    <mergeCell ref="I48:J48"/>
    <mergeCell ref="K48:M48"/>
    <mergeCell ref="N48:O49"/>
    <mergeCell ref="I49:J49"/>
    <mergeCell ref="K49:M49"/>
    <mergeCell ref="Q54:R54"/>
    <mergeCell ref="R44:R45"/>
    <mergeCell ref="E46:F46"/>
    <mergeCell ref="I46:J46"/>
    <mergeCell ref="K46:M47"/>
    <mergeCell ref="N46:O46"/>
    <mergeCell ref="R46:R47"/>
    <mergeCell ref="I47:J47"/>
    <mergeCell ref="N47:O47"/>
    <mergeCell ref="I43:J43"/>
    <mergeCell ref="K43:M43"/>
    <mergeCell ref="N43:O43"/>
    <mergeCell ref="E44:F44"/>
    <mergeCell ref="I44:J45"/>
    <mergeCell ref="K44:M44"/>
    <mergeCell ref="N44:O44"/>
    <mergeCell ref="K45:M45"/>
    <mergeCell ref="N45:O45"/>
    <mergeCell ref="R37:R38"/>
    <mergeCell ref="E39:F39"/>
    <mergeCell ref="I39:J39"/>
    <mergeCell ref="K39:M39"/>
    <mergeCell ref="N39:O39"/>
    <mergeCell ref="P39:P40"/>
    <mergeCell ref="R39:R40"/>
    <mergeCell ref="I40:J40"/>
    <mergeCell ref="K40:M40"/>
    <mergeCell ref="N40:O40"/>
    <mergeCell ref="E37:F37"/>
    <mergeCell ref="I37:J37"/>
    <mergeCell ref="K37:M37"/>
    <mergeCell ref="N37:O38"/>
    <mergeCell ref="I38:J38"/>
    <mergeCell ref="K38:M38"/>
    <mergeCell ref="R33:R34"/>
    <mergeCell ref="E35:F35"/>
    <mergeCell ref="I35:J35"/>
    <mergeCell ref="K35:M36"/>
    <mergeCell ref="N35:O35"/>
    <mergeCell ref="R35:R36"/>
    <mergeCell ref="I36:J36"/>
    <mergeCell ref="N36:O36"/>
    <mergeCell ref="I32:J32"/>
    <mergeCell ref="K32:M32"/>
    <mergeCell ref="N32:O32"/>
    <mergeCell ref="E33:F33"/>
    <mergeCell ref="I33:J34"/>
    <mergeCell ref="K33:M33"/>
    <mergeCell ref="N33:O33"/>
    <mergeCell ref="K34:M34"/>
    <mergeCell ref="N34:O34"/>
    <mergeCell ref="P28:P29"/>
    <mergeCell ref="R28:R29"/>
    <mergeCell ref="I29:J29"/>
    <mergeCell ref="K29:M29"/>
    <mergeCell ref="N29:O29"/>
    <mergeCell ref="E28:F28"/>
    <mergeCell ref="I28:J28"/>
    <mergeCell ref="K28:M28"/>
    <mergeCell ref="N28:O28"/>
    <mergeCell ref="N24:O24"/>
    <mergeCell ref="R24:R25"/>
    <mergeCell ref="N25:O25"/>
    <mergeCell ref="E26:F26"/>
    <mergeCell ref="I22:J23"/>
    <mergeCell ref="K22:M22"/>
    <mergeCell ref="N22:O22"/>
    <mergeCell ref="K23:M23"/>
    <mergeCell ref="N23:O23"/>
    <mergeCell ref="E22:F22"/>
    <mergeCell ref="I26:J26"/>
    <mergeCell ref="K26:M26"/>
    <mergeCell ref="N26:O27"/>
    <mergeCell ref="R26:R27"/>
    <mergeCell ref="I27:J27"/>
    <mergeCell ref="K27:M27"/>
    <mergeCell ref="E24:F24"/>
    <mergeCell ref="I24:J24"/>
    <mergeCell ref="K24:M25"/>
    <mergeCell ref="I25:J25"/>
    <mergeCell ref="R17:R18"/>
    <mergeCell ref="P17:P18"/>
    <mergeCell ref="I15:J15"/>
    <mergeCell ref="K15:M15"/>
    <mergeCell ref="I16:J16"/>
    <mergeCell ref="K16:M16"/>
    <mergeCell ref="I17:J17"/>
    <mergeCell ref="K17:M17"/>
    <mergeCell ref="R22:R23"/>
    <mergeCell ref="I6:J6"/>
    <mergeCell ref="K6:M6"/>
    <mergeCell ref="N6:O6"/>
    <mergeCell ref="N15:O16"/>
    <mergeCell ref="I11:J12"/>
    <mergeCell ref="I13:J13"/>
    <mergeCell ref="N13:O13"/>
    <mergeCell ref="I14:J14"/>
    <mergeCell ref="N14:O14"/>
    <mergeCell ref="K13:M14"/>
    <mergeCell ref="R11:R12"/>
    <mergeCell ref="I10:J10"/>
    <mergeCell ref="K10:M10"/>
    <mergeCell ref="N10:O10"/>
    <mergeCell ref="N12:O12"/>
    <mergeCell ref="K11:M11"/>
    <mergeCell ref="N11:O11"/>
    <mergeCell ref="K12:M12"/>
    <mergeCell ref="E140:F140"/>
    <mergeCell ref="I140:J140"/>
    <mergeCell ref="K140:M140"/>
    <mergeCell ref="N140:O141"/>
    <mergeCell ref="R140:R141"/>
    <mergeCell ref="I141:J141"/>
    <mergeCell ref="K141:M141"/>
    <mergeCell ref="N17:O17"/>
    <mergeCell ref="I18:J18"/>
    <mergeCell ref="K18:M18"/>
    <mergeCell ref="N18:O18"/>
    <mergeCell ref="I21:J21"/>
    <mergeCell ref="K21:M21"/>
    <mergeCell ref="N21:O21"/>
    <mergeCell ref="R13:R14"/>
    <mergeCell ref="R15:R16"/>
    <mergeCell ref="E142:F142"/>
    <mergeCell ref="I142:J142"/>
    <mergeCell ref="K142:M142"/>
    <mergeCell ref="N142:O142"/>
    <mergeCell ref="P142:P143"/>
    <mergeCell ref="R142:R143"/>
    <mergeCell ref="I143:J143"/>
    <mergeCell ref="K143:M143"/>
    <mergeCell ref="N143:O143"/>
    <mergeCell ref="I146:J146"/>
    <mergeCell ref="K146:M146"/>
    <mergeCell ref="N146:O146"/>
    <mergeCell ref="E147:F147"/>
    <mergeCell ref="I147:J148"/>
    <mergeCell ref="K147:M147"/>
    <mergeCell ref="N147:O147"/>
    <mergeCell ref="R147:R148"/>
    <mergeCell ref="K148:M148"/>
    <mergeCell ref="N148:O148"/>
    <mergeCell ref="E149:F149"/>
    <mergeCell ref="I149:J149"/>
    <mergeCell ref="K149:M150"/>
    <mergeCell ref="N149:O149"/>
    <mergeCell ref="R149:R150"/>
    <mergeCell ref="I150:J150"/>
    <mergeCell ref="N150:O150"/>
    <mergeCell ref="E151:F151"/>
    <mergeCell ref="I151:J151"/>
    <mergeCell ref="K151:M151"/>
    <mergeCell ref="N151:O152"/>
    <mergeCell ref="R151:R152"/>
    <mergeCell ref="I152:J152"/>
    <mergeCell ref="K152:M152"/>
    <mergeCell ref="E153:F153"/>
    <mergeCell ref="I153:J153"/>
    <mergeCell ref="K153:M153"/>
    <mergeCell ref="N153:O153"/>
    <mergeCell ref="P153:P154"/>
    <mergeCell ref="R153:R154"/>
    <mergeCell ref="I154:J154"/>
    <mergeCell ref="K154:M154"/>
    <mergeCell ref="N154:O154"/>
    <mergeCell ref="I157:J157"/>
    <mergeCell ref="K157:M157"/>
    <mergeCell ref="N157:O157"/>
    <mergeCell ref="E158:F158"/>
    <mergeCell ref="I158:J159"/>
    <mergeCell ref="K158:M158"/>
    <mergeCell ref="N158:O158"/>
    <mergeCell ref="R158:R159"/>
    <mergeCell ref="K159:M159"/>
    <mergeCell ref="N159:O159"/>
    <mergeCell ref="E160:F160"/>
    <mergeCell ref="I160:J160"/>
    <mergeCell ref="K160:M161"/>
    <mergeCell ref="N160:O160"/>
    <mergeCell ref="R160:R161"/>
    <mergeCell ref="I161:J161"/>
    <mergeCell ref="N161:O161"/>
    <mergeCell ref="E162:F162"/>
    <mergeCell ref="I162:J162"/>
    <mergeCell ref="K162:M162"/>
    <mergeCell ref="N162:O163"/>
    <mergeCell ref="R162:R163"/>
    <mergeCell ref="I163:J163"/>
    <mergeCell ref="K163:M163"/>
    <mergeCell ref="E164:F164"/>
    <mergeCell ref="I164:J164"/>
    <mergeCell ref="K164:M164"/>
    <mergeCell ref="N164:O164"/>
    <mergeCell ref="P164:P165"/>
    <mergeCell ref="R164:R165"/>
    <mergeCell ref="I165:J165"/>
    <mergeCell ref="K165:M165"/>
    <mergeCell ref="N165:O165"/>
    <mergeCell ref="Q168:R168"/>
    <mergeCell ref="G169:I169"/>
    <mergeCell ref="A170:C170"/>
    <mergeCell ref="G170:I170"/>
    <mergeCell ref="G171:I171"/>
    <mergeCell ref="G172:I172"/>
    <mergeCell ref="G173:I173"/>
    <mergeCell ref="G174:I174"/>
    <mergeCell ref="G175:I175"/>
    <mergeCell ref="G176:I176"/>
    <mergeCell ref="E177:F177"/>
    <mergeCell ref="I177:J177"/>
    <mergeCell ref="K177:M177"/>
    <mergeCell ref="N177:O177"/>
    <mergeCell ref="I181:J181"/>
    <mergeCell ref="K181:M181"/>
    <mergeCell ref="N181:O181"/>
    <mergeCell ref="E182:F182"/>
    <mergeCell ref="I182:J183"/>
    <mergeCell ref="K182:M182"/>
    <mergeCell ref="N182:O182"/>
    <mergeCell ref="R182:R183"/>
    <mergeCell ref="K183:M183"/>
    <mergeCell ref="N183:O183"/>
    <mergeCell ref="E184:F184"/>
    <mergeCell ref="I184:J184"/>
    <mergeCell ref="K184:M185"/>
    <mergeCell ref="N184:O184"/>
    <mergeCell ref="R184:R185"/>
    <mergeCell ref="I185:J185"/>
    <mergeCell ref="N185:O185"/>
    <mergeCell ref="E186:F186"/>
    <mergeCell ref="I186:J186"/>
    <mergeCell ref="K186:M186"/>
    <mergeCell ref="N186:O187"/>
    <mergeCell ref="R186:R187"/>
    <mergeCell ref="I187:J187"/>
    <mergeCell ref="K187:M187"/>
    <mergeCell ref="E188:F188"/>
    <mergeCell ref="I188:J188"/>
    <mergeCell ref="K188:M188"/>
    <mergeCell ref="N188:O188"/>
    <mergeCell ref="P188:P189"/>
    <mergeCell ref="R188:R189"/>
    <mergeCell ref="I189:J189"/>
    <mergeCell ref="K189:M189"/>
    <mergeCell ref="N189:O189"/>
    <mergeCell ref="I192:J192"/>
    <mergeCell ref="K192:M192"/>
    <mergeCell ref="N192:O192"/>
    <mergeCell ref="E193:F193"/>
    <mergeCell ref="I193:J194"/>
    <mergeCell ref="K193:M193"/>
    <mergeCell ref="N193:O193"/>
    <mergeCell ref="R193:R194"/>
    <mergeCell ref="K194:M194"/>
    <mergeCell ref="N194:O194"/>
    <mergeCell ref="E195:F195"/>
    <mergeCell ref="I195:J195"/>
    <mergeCell ref="K195:M196"/>
    <mergeCell ref="N195:O195"/>
    <mergeCell ref="R195:R196"/>
    <mergeCell ref="I196:J196"/>
    <mergeCell ref="N196:O196"/>
    <mergeCell ref="E197:F197"/>
    <mergeCell ref="I197:J197"/>
    <mergeCell ref="K197:M197"/>
    <mergeCell ref="N197:O198"/>
    <mergeCell ref="R197:R198"/>
    <mergeCell ref="I198:J198"/>
    <mergeCell ref="K198:M198"/>
    <mergeCell ref="E199:F199"/>
    <mergeCell ref="I199:J199"/>
    <mergeCell ref="K199:M199"/>
    <mergeCell ref="N199:O199"/>
    <mergeCell ref="P199:P200"/>
    <mergeCell ref="R199:R200"/>
    <mergeCell ref="I200:J200"/>
    <mergeCell ref="K200:M200"/>
    <mergeCell ref="N200:O200"/>
    <mergeCell ref="I203:J203"/>
    <mergeCell ref="K203:M203"/>
    <mergeCell ref="N203:O203"/>
    <mergeCell ref="E204:F204"/>
    <mergeCell ref="I204:J205"/>
    <mergeCell ref="K204:M204"/>
    <mergeCell ref="N204:O204"/>
    <mergeCell ref="R204:R205"/>
    <mergeCell ref="K205:M205"/>
    <mergeCell ref="N205:O205"/>
    <mergeCell ref="E206:F206"/>
    <mergeCell ref="I206:J206"/>
    <mergeCell ref="K206:M207"/>
    <mergeCell ref="N206:O206"/>
    <mergeCell ref="R206:R207"/>
    <mergeCell ref="I207:J207"/>
    <mergeCell ref="N207:O207"/>
    <mergeCell ref="E208:F208"/>
    <mergeCell ref="I208:J208"/>
    <mergeCell ref="K208:M208"/>
    <mergeCell ref="N208:O209"/>
    <mergeCell ref="R208:R209"/>
    <mergeCell ref="I209:J209"/>
    <mergeCell ref="K209:M209"/>
    <mergeCell ref="E210:F210"/>
    <mergeCell ref="I210:J210"/>
    <mergeCell ref="K210:M210"/>
    <mergeCell ref="N210:O210"/>
    <mergeCell ref="P210:P211"/>
    <mergeCell ref="R210:R211"/>
    <mergeCell ref="I211:J211"/>
    <mergeCell ref="K211:M211"/>
    <mergeCell ref="N211:O211"/>
    <mergeCell ref="I214:J214"/>
    <mergeCell ref="K214:M214"/>
    <mergeCell ref="N214:O214"/>
    <mergeCell ref="E215:F215"/>
    <mergeCell ref="I215:J216"/>
    <mergeCell ref="K215:M215"/>
    <mergeCell ref="N215:O215"/>
    <mergeCell ref="R215:R216"/>
    <mergeCell ref="K216:M216"/>
    <mergeCell ref="N216:O216"/>
    <mergeCell ref="A227:C227"/>
    <mergeCell ref="G227:I227"/>
    <mergeCell ref="E217:F217"/>
    <mergeCell ref="I217:J217"/>
    <mergeCell ref="K217:M218"/>
    <mergeCell ref="N217:O217"/>
    <mergeCell ref="R217:R218"/>
    <mergeCell ref="I218:J218"/>
    <mergeCell ref="N218:O218"/>
    <mergeCell ref="E219:F219"/>
    <mergeCell ref="I219:J219"/>
    <mergeCell ref="K219:M219"/>
    <mergeCell ref="N219:O220"/>
    <mergeCell ref="R219:R220"/>
    <mergeCell ref="I220:J220"/>
    <mergeCell ref="K220:M220"/>
    <mergeCell ref="G228:I228"/>
    <mergeCell ref="G229:I229"/>
    <mergeCell ref="E221:F221"/>
    <mergeCell ref="I221:J221"/>
    <mergeCell ref="G230:I230"/>
    <mergeCell ref="G231:I231"/>
    <mergeCell ref="G232:I232"/>
    <mergeCell ref="G233:I233"/>
    <mergeCell ref="Q225:R225"/>
    <mergeCell ref="G226:I226"/>
    <mergeCell ref="K221:M221"/>
    <mergeCell ref="N221:O221"/>
    <mergeCell ref="P221:P222"/>
    <mergeCell ref="R221:R222"/>
    <mergeCell ref="I222:J222"/>
    <mergeCell ref="K222:M222"/>
    <mergeCell ref="N222:O222"/>
  </mergeCells>
  <phoneticPr fontId="0" type="noConversion"/>
  <conditionalFormatting sqref="E100 E10 E43 E89 E78 E32 E157 E146 E124 E21 E67 E135 E181 E214 E203 E192">
    <cfRule type="expression" dxfId="42" priority="1" stopIfTrue="1">
      <formula>AND($D10&gt;0,$D10&lt;9,$B10&gt;0)</formula>
    </cfRule>
    <cfRule type="expression" dxfId="41" priority="2" stopIfTrue="1">
      <formula>$D10&gt;0</formula>
    </cfRule>
    <cfRule type="expression" dxfId="40" priority="3" stopIfTrue="1">
      <formula>$E10="Bye"</formula>
    </cfRule>
  </conditionalFormatting>
  <conditionalFormatting sqref="I16 K27 N25 P25 I29:I30 P93 K29:K30 N29:N30 I40:I41 K40:K41 N40:N41 I27 P27 K23 I49 N80 P49 P80 K45 N45 P45 I82 I47 K49 N47 P47 I51 K51 N51 P16 K12 N12 P12 I14 K16 N14 P14 I18:I19 K18:K19 N18:N19 I38 P38 K34 N34 P34 I36 K38 N36 P36 N23 P23 I25 I73 K84 N82 P82 I86:I87 K86:K87 N86:N87 I97:I98 K97:K98 N97:N98 I84 P84 K80 I106 P106 K102 N102 P102 I104 K106 N104 P104 I108 K108 N108 P73 K69 N69 P69 I71 K73 N71 P71 I75:I76 K75:K76 N75:N76 I95 P95 K91 N91 P91 I93 K95 N93 P150 N137 P137 I139 I130 K141 N139 P139 I143:I144 K143:K144 N143:N144 I154:I155 K154:K155 N154:N155 I141 P141 K137 I163 P163 K159 N159 P159 I161 K163 N161 P161 I165 K165 N165 P130 K126 N126 P126 I128 K130 N128 P128 I132:I133 K132:K133 N132:N133 I152 P152 K148 N148 P148 I150 K152 N150 P207 N194 P194 I196 I187 K198 N196 P196 I200:I201 K200:K201 N200:N201 I211:I212 K211:K212 N211:N212 I198 P198 K194 I220 P220 K216 N216 P216 I218 K220 N218 P218 I222 K222 N222 P187 K183 N183 P183 I185 K187 N185 P185 I189:I190 K189:K190 N189:N190 I209 P209 K205 N205 P205 I207 K209 N207">
    <cfRule type="expression" dxfId="39" priority="4" stopIfTrue="1">
      <formula>AND($P$1="Sudac",I12=$U$1)</formula>
    </cfRule>
    <cfRule type="expression" dxfId="38" priority="5" stopIfTrue="1">
      <formula>AND($P$1="Sudac",I12&lt;&gt;$U$1,J12&lt;&gt;"")</formula>
    </cfRule>
    <cfRule type="expression" dxfId="37" priority="6" stopIfTrue="1">
      <formula>AND($P$1="Sudac",I12&lt;&gt;$U$1)</formula>
    </cfRule>
  </conditionalFormatting>
  <conditionalFormatting sqref="O58 O56 C59 C62 O115 O113 C116 C119 O172 O170 C173 C176 O229 O227 C230 C233">
    <cfRule type="expression" dxfId="36" priority="7" stopIfTrue="1">
      <formula>C56="xx"</formula>
    </cfRule>
    <cfRule type="expression" dxfId="35" priority="8" stopIfTrue="1">
      <formula>C56=""</formula>
    </cfRule>
  </conditionalFormatting>
  <conditionalFormatting sqref="Q54:R54 Q225:R225 Q168:R168 Q111:R111">
    <cfRule type="expression" dxfId="34" priority="9" stopIfTrue="1">
      <formula>Q54="dd.mm.gggg. / ss:mm"</formula>
    </cfRule>
    <cfRule type="expression" dxfId="33" priority="10" stopIfTrue="1">
      <formula>Q54=""</formula>
    </cfRule>
  </conditionalFormatting>
  <conditionalFormatting sqref="E11:F11 E13:F13 E15:F15 E17:F17 E22:F22 E24:F24 E26:F26 E28:F28 E33:F33 E35:F35 E37:F37 E39:F39 E44:F44 E46:F46 E48:F48 E50:F50 E68:F68 E70:F70 E72:F72 E74:F74 E79:F79 E81:F81 E83:F83 E85:F85 E90:F90 E92:F92 E94:F94 E96:F96 E101:F101 E103:F103 E105:F105 E107:F107 E125:F125 E127:F127 E129:F129 E131:F131 E136:F136 E138:F138 E140:F140 E142:F142 E147:F147 E149:F149 E151:F151 E153:F153 E158:F158 E160:F160 E162:F162 E164:F164 E182:F182 E184:F184 E186:F186 E188:F188 E193:F193 E195:F195 E197:F197 E199:F199 E204:F204 E206:F206 E208:F208 E210:F210 E215:F215 E217:F217 E219:F219 E221:F221">
    <cfRule type="expression" dxfId="32" priority="11" stopIfTrue="1">
      <formula>OR($D11=$S$2,$D11&lt;$S$2)</formula>
    </cfRule>
    <cfRule type="expression" dxfId="31" priority="12" stopIfTrue="1">
      <formula>OR($D11&gt;$S$2)</formula>
    </cfRule>
  </conditionalFormatting>
  <conditionalFormatting sqref="D11 D13 D15 D17 D22 D24 D26 D28 D33 D35 D37 D39 D44 D46 D48 D50 D68 D70 D72 D74 D79 D81 D83 D85 D90 D92 D94 D96 D101 D103 D105 D107 D125 D127 D129 D131 D136 D138 D140 D142 D147 D149 D151 D153 D158 D160 D162 D164 D182 D184 D186 D188 D193 D195 D197 D199 D204 D206 D208 D210 D215 D217 D219 D221">
    <cfRule type="expression" dxfId="30" priority="13" stopIfTrue="1">
      <formula>OR($D11=$S$2,$D11&lt;$S$2)</formula>
    </cfRule>
    <cfRule type="expression" dxfId="29" priority="14" stopIfTrue="1">
      <formula>OR($D11&gt;$S$2)</formula>
    </cfRule>
  </conditionalFormatting>
  <conditionalFormatting sqref="D55:E62 D112:E119 D169:E176 D226:E233">
    <cfRule type="expression" dxfId="28" priority="15" stopIfTrue="1">
      <formula>OR($D55=$S$2,$D55&lt;$S$2)</formula>
    </cfRule>
    <cfRule type="expression" dxfId="27" priority="16" stopIfTrue="1">
      <formula>OR($D55&gt;$S$2)</formula>
    </cfRule>
  </conditionalFormatting>
  <conditionalFormatting sqref="F55:I62 F112:I119 F169:I176 F226:I233">
    <cfRule type="expression" dxfId="26" priority="17" stopIfTrue="1">
      <formula>OR($F55=$S$2,$F55&lt;$S$2)</formula>
    </cfRule>
    <cfRule type="expression" dxfId="25" priority="18" stopIfTrue="1">
      <formula>OR($F55&gt;$S$2)</formula>
    </cfRule>
  </conditionalFormatting>
  <dataValidations count="2">
    <dataValidation type="list" allowBlank="1" showInputMessage="1" sqref="P27 K209 P209 K205 I200:I201 K200:K201 N200:N201 N205 P205 K183 N183 P183 I185 N185 P185 I189:I190 K189:K190 N189:N190 I187 K187 P187 K216 N216 P216 I218 N218 P218 I222 K222 N222 I220 K220 P220 K194 N194 P194 I196 N196 P196 I198 I211:I212 K211:K212 N211:N212 K198 P198 I207 N207 P207 I209 K152 P152 K148 I143:I144 K143:K144 N143:N144 N148 P148 K126 N126 P126 I128 N128 P128 I132:I133 K132:K133 N132:N133 I130 K130 P130 K159 N159 P159 I161 N161 P161 I165 K165 N165 I163 K163 P163 K137 N137 P137 I139 N139 P139 I141 I154:I155 K154:K155 N154:N155 K141 P141 I150 N150 P150 I152 K95 P95 K91 I86:I87 K86:K87 N86:N87 N91 P91 K69 N69 P69 I71 N71 P71 I75:I76 K75:K76 N75:N76 I73 K73 P73 K102 N102 P102 I104 N104 P104 I108 K108 N108 I106 K106 P106 K80 N80 P80 I82 N82 P82 I84 I97:I98 K97:K98 N97:N98 K84 P84 I36 N36 P36 I38 K38 P38 K34 I29:I30 K29:K30 N29:N30 N34 P34 K12 N12 P12 I14 N14 P14 I18:I19 K18:K19 N18:N19 I16 K16 P16 K45 N45 P45 I47 N47 P47 I51 K51 N51 I49 K49 P49 K23 I93 N23 P23 I25 N93 N25 P93 I95 P25 I27 I40:I41 K40:K41 N40:N41 K27">
      <formula1>$U$1:$U$17</formula1>
    </dataValidation>
    <dataValidation type="whole" errorStyle="information" allowBlank="1" showInputMessage="1" showErrorMessage="1" error="Krivi broj nositelja !!!_x000a_Unesi broj nositelja između 1 i 32" promptTitle="Broj nositelja" prompt="Unesi broj nositelja prema broju skupina._x000a_Minimum 1, maksimum 32._x000a_U svakoj skupini postavljaju se po 2 nositelja i to SAMO igrači s rangom." sqref="S2">
      <formula1>1</formula1>
      <formula2>32</formula2>
    </dataValidation>
  </dataValidations>
  <printOptions horizontalCentered="1" verticalCentered="1"/>
  <pageMargins left="0.19685039370078741" right="0.19685039370078741" top="0.19685039370078741" bottom="0.39370078740157483" header="0.19685039370078741" footer="0.39370078740157483"/>
  <pageSetup paperSize="9" scale="69" orientation="portrait" horizontalDpi="1200" verticalDpi="1200" r:id="rId1"/>
  <headerFooter alignWithMargins="0"/>
  <rowBreaks count="3" manualBreakCount="3">
    <brk id="62" max="17" man="1"/>
    <brk id="119" max="17" man="1"/>
    <brk id="176"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Line="0" autoPict="0" macro="[0]!Sudac_SA">
                <anchor>
                  <from>
                    <xdr:col>14</xdr:col>
                    <xdr:colOff>304800</xdr:colOff>
                    <xdr:row>0</xdr:row>
                    <xdr:rowOff>0</xdr:rowOff>
                  </from>
                  <to>
                    <xdr:col>15</xdr:col>
                    <xdr:colOff>504825</xdr:colOff>
                    <xdr:row>0</xdr:row>
                    <xdr:rowOff>266700</xdr:rowOff>
                  </to>
                </anchor>
              </controlPr>
            </control>
          </mc:Choice>
        </mc:AlternateContent>
        <mc:AlternateContent xmlns:mc="http://schemas.openxmlformats.org/markup-compatibility/2006">
          <mc:Choice Requires="x14">
            <control shapeId="17411" r:id="rId5" name="Button 3">
              <controlPr defaultSize="0" print="0" autoFill="0" autoLine="0" autoPict="0" macro="[0]!Sudac_BEZ">
                <anchor>
                  <from>
                    <xdr:col>15</xdr:col>
                    <xdr:colOff>523875</xdr:colOff>
                    <xdr:row>0</xdr:row>
                    <xdr:rowOff>0</xdr:rowOff>
                  </from>
                  <to>
                    <xdr:col>16</xdr:col>
                    <xdr:colOff>133350</xdr:colOff>
                    <xdr:row>0</xdr:row>
                    <xdr:rowOff>266700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502" enableFormatConditionsCalculation="0">
    <tabColor indexed="48"/>
  </sheetPr>
  <dimension ref="A1:V82"/>
  <sheetViews>
    <sheetView showGridLines="0" showRowColHeaders="0" showZeros="0" view="pageBreakPreview" zoomScaleNormal="100" workbookViewId="0">
      <pane ySplit="10" topLeftCell="A17" activePane="bottomLeft" state="frozenSplit"/>
      <selection activeCell="D18" sqref="D18"/>
      <selection pane="bottomLeft" activeCell="A3" sqref="A3"/>
    </sheetView>
  </sheetViews>
  <sheetFormatPr defaultRowHeight="12.75" x14ac:dyDescent="0.2"/>
  <cols>
    <col min="1" max="1" width="3.7109375" style="14" customWidth="1"/>
    <col min="2" max="2" width="1.7109375" style="14" customWidth="1"/>
    <col min="3" max="3" width="20.7109375" style="14" customWidth="1"/>
    <col min="4" max="4" width="15.7109375" style="14" customWidth="1"/>
    <col min="5" max="6" width="8.7109375" style="14" customWidth="1"/>
    <col min="7" max="7" width="1.7109375" style="14" customWidth="1"/>
    <col min="8" max="8" width="20.7109375" style="14" customWidth="1"/>
    <col min="9" max="9" width="15.7109375" style="14" customWidth="1"/>
    <col min="10" max="14" width="8.7109375" style="14" customWidth="1"/>
    <col min="15" max="15" width="10.7109375" style="14" customWidth="1"/>
    <col min="16" max="16" width="9.140625" style="14"/>
    <col min="17" max="17" width="9.140625" style="14" hidden="1" customWidth="1"/>
    <col min="18" max="18" width="25.7109375" style="14" hidden="1" customWidth="1"/>
    <col min="19" max="22" width="13.7109375" style="14" hidden="1" customWidth="1"/>
    <col min="23" max="16384" width="9.140625" style="14"/>
  </cols>
  <sheetData>
    <row r="1" spans="1:22" ht="22.5" customHeight="1" x14ac:dyDescent="0.3">
      <c r="A1" s="11" t="str">
        <f>Pocetna!$B$7</f>
        <v xml:space="preserve">OP SAMOBORA </v>
      </c>
      <c r="B1" s="11"/>
      <c r="C1" s="12"/>
      <c r="D1" s="12"/>
      <c r="E1" s="12"/>
      <c r="F1" s="12"/>
      <c r="G1" s="12"/>
      <c r="H1" s="12"/>
      <c r="I1" s="12"/>
      <c r="J1" s="12"/>
      <c r="K1" s="12"/>
      <c r="L1" s="12"/>
      <c r="M1" s="13"/>
      <c r="N1" s="271"/>
      <c r="O1" s="271"/>
      <c r="P1" s="13"/>
      <c r="Q1" s="130" t="s">
        <v>79</v>
      </c>
      <c r="R1" s="13"/>
      <c r="S1" s="13"/>
    </row>
    <row r="2" spans="1:22" ht="15" x14ac:dyDescent="0.2">
      <c r="A2" s="39" t="str">
        <f>Pocetna!$B$10</f>
        <v>dječaci do 12 god.</v>
      </c>
      <c r="B2" s="39"/>
      <c r="C2" s="39"/>
      <c r="D2" s="39"/>
      <c r="E2" s="39"/>
      <c r="F2" s="39"/>
      <c r="G2" s="39"/>
      <c r="H2" s="39"/>
      <c r="I2" s="39"/>
      <c r="J2" s="39"/>
      <c r="K2" s="39"/>
      <c r="L2" s="39"/>
      <c r="M2" s="13"/>
      <c r="N2" s="271"/>
      <c r="O2" s="271"/>
      <c r="P2" s="15"/>
      <c r="Q2" s="210" t="s">
        <v>80</v>
      </c>
      <c r="R2" s="13"/>
      <c r="S2" s="16"/>
    </row>
    <row r="3" spans="1:22" ht="13.5" customHeight="1" x14ac:dyDescent="0.2">
      <c r="A3" s="39"/>
      <c r="B3" s="39"/>
      <c r="C3" s="39"/>
      <c r="D3" s="39"/>
      <c r="F3" s="39"/>
      <c r="G3" s="39"/>
      <c r="H3" s="73" t="s">
        <v>172</v>
      </c>
      <c r="I3" s="39"/>
      <c r="J3" s="39"/>
      <c r="K3" s="39"/>
      <c r="L3" s="39"/>
      <c r="M3" s="13"/>
      <c r="N3" s="13"/>
      <c r="O3" s="13"/>
      <c r="P3" s="15"/>
      <c r="Q3" s="159"/>
      <c r="R3" s="13"/>
      <c r="S3" s="16"/>
    </row>
    <row r="4" spans="1:22" ht="13.5" customHeight="1" x14ac:dyDescent="0.2">
      <c r="A4" s="17"/>
      <c r="B4" s="17"/>
      <c r="C4" s="645"/>
      <c r="D4" s="645"/>
      <c r="E4" s="645"/>
      <c r="F4" s="645"/>
      <c r="G4" s="17"/>
      <c r="H4" s="73" t="s">
        <v>173</v>
      </c>
      <c r="I4" s="17"/>
      <c r="J4" s="17"/>
      <c r="K4" s="17"/>
      <c r="L4" s="17"/>
      <c r="M4" s="17"/>
      <c r="N4" s="41"/>
      <c r="O4" s="41" t="str">
        <f>Pocetna!$F$11</f>
        <v>Vrhovni sudac</v>
      </c>
      <c r="P4" s="17"/>
      <c r="Q4" s="159"/>
      <c r="R4" s="15"/>
      <c r="S4" s="18"/>
    </row>
    <row r="5" spans="1:22" ht="13.5" customHeight="1" thickBot="1" x14ac:dyDescent="0.25">
      <c r="A5" s="40" t="str">
        <f>Pocetna!$B$11</f>
        <v>Datum turnira</v>
      </c>
      <c r="B5" s="40"/>
      <c r="C5" s="40"/>
      <c r="D5" s="40" t="str">
        <f>Pocetna!$D$11</f>
        <v>Organizator</v>
      </c>
      <c r="E5" s="40"/>
      <c r="F5" s="40" t="str">
        <f>Pocetna!$E$11</f>
        <v>Mjesto</v>
      </c>
      <c r="G5" s="40"/>
      <c r="H5" s="40"/>
      <c r="I5" s="40"/>
      <c r="J5" s="40"/>
      <c r="K5" s="40"/>
      <c r="L5" s="40"/>
      <c r="M5" s="40"/>
      <c r="N5" s="37"/>
      <c r="O5" s="37" t="str">
        <f>Pocetna!$F$12</f>
        <v>Mladen Šančić</v>
      </c>
      <c r="Q5" s="159"/>
    </row>
    <row r="6" spans="1:22" ht="13.5" customHeight="1" x14ac:dyDescent="0.2">
      <c r="A6" s="42" t="str">
        <f>Pocetna!$B$12</f>
        <v>(22.)24.-26.04.2016.</v>
      </c>
      <c r="B6" s="42"/>
      <c r="C6" s="42"/>
      <c r="D6" s="42" t="str">
        <f>Pocetna!$D$12</f>
        <v>TK Samobor1890</v>
      </c>
      <c r="E6" s="42"/>
      <c r="F6" s="42" t="str">
        <f>Pocetna!$E$12</f>
        <v>Samobor</v>
      </c>
      <c r="G6" s="42"/>
      <c r="H6" s="42"/>
      <c r="I6" s="42"/>
      <c r="J6" s="42"/>
      <c r="K6" s="42"/>
      <c r="L6" s="74" t="s">
        <v>20</v>
      </c>
      <c r="M6" s="213"/>
      <c r="N6" s="211"/>
      <c r="O6" s="72"/>
    </row>
    <row r="7" spans="1:22" ht="13.5" customHeight="1" x14ac:dyDescent="0.2">
      <c r="A7" s="40" t="str">
        <f>Pocetna!$C$11</f>
        <v>ID turnira</v>
      </c>
      <c r="B7" s="40"/>
      <c r="C7" s="40"/>
      <c r="D7" s="40" t="str">
        <f>Pocetna!$B$15</f>
        <v>Rang turnira</v>
      </c>
      <c r="E7" s="40"/>
      <c r="F7" s="40"/>
      <c r="G7" s="40"/>
      <c r="H7" s="40"/>
      <c r="I7" s="40"/>
      <c r="J7" s="40"/>
      <c r="K7" s="40"/>
      <c r="L7" s="212"/>
      <c r="M7" s="214"/>
      <c r="N7" s="149"/>
      <c r="O7" s="78"/>
    </row>
    <row r="8" spans="1:22" ht="13.5" customHeight="1" thickBot="1" x14ac:dyDescent="0.25">
      <c r="A8" s="215" t="str">
        <f>Pocetna!$C$12</f>
        <v>R12_20160422_SAM</v>
      </c>
      <c r="B8" s="215"/>
      <c r="C8" s="216"/>
      <c r="D8" s="215" t="str">
        <f>Pocetna!$B$16</f>
        <v>4. rang</v>
      </c>
      <c r="E8" s="216"/>
      <c r="F8" s="216"/>
      <c r="G8" s="216"/>
      <c r="H8" s="216"/>
      <c r="I8" s="216"/>
      <c r="J8" s="216"/>
      <c r="K8" s="216"/>
      <c r="L8" s="217"/>
      <c r="M8" s="218"/>
      <c r="N8" s="219"/>
      <c r="O8" s="80"/>
    </row>
    <row r="9" spans="1:22" ht="18.75" customHeight="1" thickBot="1" x14ac:dyDescent="0.25">
      <c r="A9" s="221"/>
      <c r="B9" s="652" t="s">
        <v>133</v>
      </c>
      <c r="C9" s="646"/>
      <c r="D9" s="646"/>
      <c r="E9" s="646"/>
      <c r="F9" s="222">
        <v>1</v>
      </c>
      <c r="G9" s="646" t="s">
        <v>134</v>
      </c>
      <c r="H9" s="646"/>
      <c r="I9" s="646"/>
      <c r="J9" s="646"/>
      <c r="K9" s="222">
        <v>2</v>
      </c>
      <c r="L9" s="249" t="s">
        <v>135</v>
      </c>
      <c r="M9" s="646" t="s">
        <v>137</v>
      </c>
      <c r="N9" s="646"/>
      <c r="O9" s="220"/>
    </row>
    <row r="10" spans="1:22" ht="37.5" customHeight="1" thickBot="1" x14ac:dyDescent="0.25">
      <c r="A10" s="263" t="s">
        <v>61</v>
      </c>
      <c r="B10" s="649" t="s">
        <v>55</v>
      </c>
      <c r="C10" s="650"/>
      <c r="D10" s="265" t="s">
        <v>56</v>
      </c>
      <c r="E10" s="265" t="s">
        <v>1</v>
      </c>
      <c r="F10" s="266" t="s">
        <v>132</v>
      </c>
      <c r="G10" s="651" t="s">
        <v>55</v>
      </c>
      <c r="H10" s="650"/>
      <c r="I10" s="265" t="s">
        <v>56</v>
      </c>
      <c r="J10" s="265" t="s">
        <v>1</v>
      </c>
      <c r="K10" s="266" t="s">
        <v>132</v>
      </c>
      <c r="L10" s="264" t="s">
        <v>136</v>
      </c>
      <c r="M10" s="264" t="s">
        <v>57</v>
      </c>
      <c r="N10" s="265" t="s">
        <v>138</v>
      </c>
      <c r="O10" s="267" t="s">
        <v>60</v>
      </c>
      <c r="R10" s="533" t="str">
        <f>"Broj nositelja:"&amp;" "&amp;IF(40-COUNTBLANK($B$11:$B$50)-COUNTIF($B$11:$B$50,"bye")&lt;=10,"2",IF(40-COUNTBLANK($B$11:$B$50)-COUNTIF($B$11:$B$50,"bye")&lt;=20,"4",IF(40-COUNTBLANK($B$11:$B$50)-COUNTIF($B$11:$B$50,"bye")&lt;=40,"8","greška")))</f>
        <v>Broj nositelja: 4</v>
      </c>
      <c r="S10" s="534" t="str">
        <f>IF(16-COUNTBLANK($B$11:$B$26)-COUNTIF($B$11:$B$26,"bye")&lt;=10,"2",IF(16-COUNTBLANK($B$11:$B$26)-COUNTIF($B$11:$B$26,"bye")&lt;=20,"4","greška"))</f>
        <v>4</v>
      </c>
      <c r="U10" s="647" t="s">
        <v>34</v>
      </c>
      <c r="V10" s="648"/>
    </row>
    <row r="11" spans="1:22" ht="26.25" customHeight="1" x14ac:dyDescent="0.2">
      <c r="A11" s="81">
        <v>1</v>
      </c>
      <c r="B11" s="480">
        <v>2</v>
      </c>
      <c r="C11" s="481" t="str">
        <f>UPPER(IF($B11="","",VLOOKUP($B11,'Lista prijave'!$A$11:$F$210,2)))</f>
        <v>MAJCAN</v>
      </c>
      <c r="D11" s="481" t="str">
        <f>IF($B11="","",VLOOKUP($B11,'Lista prijave'!$A$11:$F$210,3))</f>
        <v>Lovro</v>
      </c>
      <c r="E11" s="482" t="str">
        <f>IF($B11="","",VLOOKUP($B11,'Lista prijave'!$A$11:$F$210,4))</f>
        <v>SAM</v>
      </c>
      <c r="F11" s="483">
        <f>IF($B11="","",VLOOKUP($B11,'Lista prijave'!$A$11:$F$210,5))</f>
        <v>13</v>
      </c>
      <c r="G11" s="484">
        <v>1</v>
      </c>
      <c r="H11" s="481" t="str">
        <f>UPPER(IF($G11="","",VLOOKUP($G11,'Lista prijave'!$A$11:$F$210,2)))</f>
        <v>VUKADIN</v>
      </c>
      <c r="I11" s="481" t="str">
        <f>IF($G11="","",VLOOKUP($G11,'Lista prijave'!$A$11:$F$210,3))</f>
        <v>Noa</v>
      </c>
      <c r="J11" s="482" t="str">
        <f>IF($G11="","",VLOOKUP($G11,'Lista prijave'!$A$11:$F$210,4))</f>
        <v>VUL</v>
      </c>
      <c r="K11" s="483">
        <f>IF($G11="","",VLOOKUP($G11,'Lista prijave'!$A$11:$F$210,5))</f>
        <v>9</v>
      </c>
      <c r="L11" s="485">
        <f t="shared" ref="L11:L26" si="0">IF(AND(B11&gt;0,G11&gt;0),$F11+$K11,"")</f>
        <v>22</v>
      </c>
      <c r="M11" s="486" t="s">
        <v>79</v>
      </c>
      <c r="N11" s="487" t="str">
        <f t="shared" ref="N11:N26" si="1">IF(AND($B11&gt;0,$G11&gt;0),IF(AND($F11=0,$K11=0),"C",IF(OR($F11=0,$K11=0),"B",IF(AND($F11&gt;0,$K11&gt;0),"A",""))),"")</f>
        <v>A</v>
      </c>
      <c r="O11" s="472"/>
      <c r="Q11" s="223">
        <f>$L11</f>
        <v>22</v>
      </c>
      <c r="R11" s="224" t="str">
        <f>IF(AND(B11&gt;0,H11&gt;0),IF(SUM(LEN(C11),LEN(D11))&lt;13,PROPER(D11)&amp;" "&amp;UPPER(C11),LEFT(D11,1)&amp;". "&amp;UPPER(C11))&amp;" / "&amp;IF(SUM(LEN(H11),LEN(I11))&lt;13,PROPER(I11)&amp;" "&amp;UPPER(H11),LEFT(I11,1)&amp;". "&amp;UPPER(H11)),"")</f>
        <v>Lovro MAJCAN / Noa VUKADIN</v>
      </c>
      <c r="S11" s="224" t="str">
        <f>IF(AND(B11&gt;0,H11&gt;0),IF(SUM(LEN(C11),LEN(D11))&lt;13,PROPER(D11)&amp;" "&amp;UPPER(C11),LEFT(D11,1)&amp;". "&amp;UPPER(C11))&amp;" / ","")</f>
        <v xml:space="preserve">Lovro MAJCAN / </v>
      </c>
      <c r="T11" s="224" t="str">
        <f>IF(AND(B11&gt;0,H11&gt;0)," / "&amp;IF(SUM(LEN(H11),LEN(I11))&lt;13,PROPER(I11)&amp;" "&amp;UPPER(H11),LEFT(I11,1)&amp;". "&amp;UPPER(H11)),"")</f>
        <v xml:space="preserve"> / Noa VUKADIN</v>
      </c>
      <c r="U11" s="225" t="s">
        <v>563</v>
      </c>
      <c r="V11" s="226" t="s">
        <v>564</v>
      </c>
    </row>
    <row r="12" spans="1:22" ht="26.25" customHeight="1" x14ac:dyDescent="0.2">
      <c r="A12" s="82">
        <v>2</v>
      </c>
      <c r="B12" s="535">
        <v>3</v>
      </c>
      <c r="C12" s="481" t="str">
        <f>UPPER(IF($B12="","",VLOOKUP($B12,'Lista prijave'!$A$11:$F$210,2)))</f>
        <v>DOŠEN</v>
      </c>
      <c r="D12" s="481" t="str">
        <f>IF($B12="","",VLOOKUP($B12,'Lista prijave'!$A$11:$F$210,3))</f>
        <v>Luka</v>
      </c>
      <c r="E12" s="482" t="str">
        <f>IF($B12="","",VLOOKUP($B12,'Lista prijave'!$A$11:$F$210,4))</f>
        <v>VUL</v>
      </c>
      <c r="F12" s="483">
        <f>IF($B12="","",VLOOKUP($B12,'Lista prijave'!$A$11:$F$210,5))</f>
        <v>17</v>
      </c>
      <c r="G12" s="484">
        <v>5</v>
      </c>
      <c r="H12" s="481" t="str">
        <f>UPPER(IF($G12="","",VLOOKUP($G12,'Lista prijave'!$A$11:$F$210,2)))</f>
        <v>ŠKREB</v>
      </c>
      <c r="I12" s="481" t="str">
        <f>IF($G12="","",VLOOKUP($G12,'Lista prijave'!$A$11:$F$210,3))</f>
        <v>Daniel</v>
      </c>
      <c r="J12" s="482" t="str">
        <f>IF($G12="","",VLOOKUP($G12,'Lista prijave'!$A$11:$F$210,4))</f>
        <v>VUL</v>
      </c>
      <c r="K12" s="483">
        <f>IF($G12="","",VLOOKUP($G12,'Lista prijave'!$A$11:$F$210,5))</f>
        <v>30</v>
      </c>
      <c r="L12" s="485">
        <f t="shared" si="0"/>
        <v>47</v>
      </c>
      <c r="M12" s="486" t="s">
        <v>79</v>
      </c>
      <c r="N12" s="487" t="str">
        <f t="shared" si="1"/>
        <v>A</v>
      </c>
      <c r="O12" s="472"/>
      <c r="Q12" s="223">
        <f t="shared" ref="Q12:Q26" si="2">$L12</f>
        <v>47</v>
      </c>
      <c r="R12" s="224" t="str">
        <f t="shared" ref="R12:R26" si="3">IF(AND(B12&gt;0,H12&gt;0),IF(SUM(LEN(C12),LEN(D12))&lt;13,PROPER(D12)&amp;" "&amp;UPPER(C12),LEFT(D12,1)&amp;". "&amp;UPPER(C12))&amp;" / "&amp;IF(SUM(LEN(H12),LEN(I12))&lt;13,PROPER(I12)&amp;" "&amp;UPPER(H12),LEFT(I12,1)&amp;". "&amp;UPPER(H12)),"")</f>
        <v>Luka DOŠEN / Daniel ŠKREB</v>
      </c>
      <c r="S12" s="224" t="str">
        <f t="shared" ref="S12:S26" si="4">IF(AND(B12&gt;0,H12&gt;0),IF(SUM(LEN(C12),LEN(D12))&lt;13,PROPER(D12)&amp;" "&amp;UPPER(C12),LEFT(D12,1)&amp;". "&amp;UPPER(C12))&amp;" / ","")</f>
        <v xml:space="preserve">Luka DOŠEN / </v>
      </c>
      <c r="T12" s="224" t="str">
        <f t="shared" ref="T12:T26" si="5">IF(AND(B12&gt;0,H12&gt;0)," / "&amp;IF(SUM(LEN(H12),LEN(I12))&lt;13,PROPER(I12)&amp;" "&amp;UPPER(H12),LEFT(I12,1)&amp;". "&amp;UPPER(H12)),"")</f>
        <v xml:space="preserve"> / Daniel ŠKREB</v>
      </c>
      <c r="U12" s="227" t="s">
        <v>565</v>
      </c>
      <c r="V12" s="228" t="s">
        <v>566</v>
      </c>
    </row>
    <row r="13" spans="1:22" ht="26.25" customHeight="1" x14ac:dyDescent="0.2">
      <c r="A13" s="82">
        <v>3</v>
      </c>
      <c r="B13" s="480">
        <v>4</v>
      </c>
      <c r="C13" s="481" t="str">
        <f>UPPER(IF($B13="","",VLOOKUP($B13,'Lista prijave'!$A$11:$F$210,2)))</f>
        <v>BOBAN</v>
      </c>
      <c r="D13" s="481" t="str">
        <f>IF($B13="","",VLOOKUP($B13,'Lista prijave'!$A$11:$F$210,3))</f>
        <v>Viktor</v>
      </c>
      <c r="E13" s="482" t="str">
        <f>IF($B13="","",VLOOKUP($B13,'Lista prijave'!$A$11:$F$210,4))</f>
        <v>MDV</v>
      </c>
      <c r="F13" s="483">
        <f>IF($B13="","",VLOOKUP($B13,'Lista prijave'!$A$11:$F$210,5))</f>
        <v>18</v>
      </c>
      <c r="G13" s="484">
        <v>11</v>
      </c>
      <c r="H13" s="481" t="str">
        <f>UPPER(IF($G13="","",VLOOKUP($G13,'Lista prijave'!$A$11:$F$210,2)))</f>
        <v>VOLJAVEC</v>
      </c>
      <c r="I13" s="481" t="str">
        <f>IF($G13="","",VLOOKUP($G13,'Lista prijave'!$A$11:$F$210,3))</f>
        <v>Antonio</v>
      </c>
      <c r="J13" s="482" t="str">
        <f>IF($G13="","",VLOOKUP($G13,'Lista prijave'!$A$11:$F$210,4))</f>
        <v>PON</v>
      </c>
      <c r="K13" s="483">
        <f>IF($G13="","",VLOOKUP($G13,'Lista prijave'!$A$11:$F$210,5))</f>
        <v>49</v>
      </c>
      <c r="L13" s="485">
        <f t="shared" si="0"/>
        <v>67</v>
      </c>
      <c r="M13" s="486" t="s">
        <v>79</v>
      </c>
      <c r="N13" s="487" t="str">
        <f t="shared" si="1"/>
        <v>A</v>
      </c>
      <c r="O13" s="472"/>
      <c r="Q13" s="223">
        <f t="shared" si="2"/>
        <v>67</v>
      </c>
      <c r="R13" s="224" t="str">
        <f t="shared" si="3"/>
        <v>Viktor BOBAN / A. VOLJAVEC</v>
      </c>
      <c r="S13" s="224" t="str">
        <f t="shared" si="4"/>
        <v xml:space="preserve">Viktor BOBAN / </v>
      </c>
      <c r="T13" s="224" t="str">
        <f t="shared" si="5"/>
        <v xml:space="preserve"> / A. VOLJAVEC</v>
      </c>
      <c r="U13" s="227" t="s">
        <v>567</v>
      </c>
      <c r="V13" s="228" t="s">
        <v>568</v>
      </c>
    </row>
    <row r="14" spans="1:22" ht="26.25" customHeight="1" x14ac:dyDescent="0.2">
      <c r="A14" s="82">
        <v>4</v>
      </c>
      <c r="B14" s="480">
        <v>10</v>
      </c>
      <c r="C14" s="481" t="str">
        <f>UPPER(IF($B14="","",VLOOKUP($B14,'Lista prijave'!$A$11:$F$210,2)))</f>
        <v>BOBOK</v>
      </c>
      <c r="D14" s="481" t="str">
        <f>IF($B14="","",VLOOKUP($B14,'Lista prijave'!$A$11:$F$210,3))</f>
        <v>Josip</v>
      </c>
      <c r="E14" s="482" t="str">
        <f>IF($B14="","",VLOOKUP($B14,'Lista prijave'!$A$11:$F$210,4))</f>
        <v>IMZ</v>
      </c>
      <c r="F14" s="483">
        <f>IF($B14="","",VLOOKUP($B14,'Lista prijave'!$A$11:$F$210,5))</f>
        <v>46</v>
      </c>
      <c r="G14" s="484">
        <v>9</v>
      </c>
      <c r="H14" s="481" t="str">
        <f>UPPER(IF($G14="","",VLOOKUP($G14,'Lista prijave'!$A$11:$F$210,2)))</f>
        <v>NOTHIG</v>
      </c>
      <c r="I14" s="481" t="str">
        <f>IF($G14="","",VLOOKUP($G14,'Lista prijave'!$A$11:$F$210,3))</f>
        <v>Karlo</v>
      </c>
      <c r="J14" s="482" t="str">
        <f>IF($G14="","",VLOOKUP($G14,'Lista prijave'!$A$11:$F$210,4))</f>
        <v>ITE</v>
      </c>
      <c r="K14" s="483">
        <f>IF($G14="","",VLOOKUP($G14,'Lista prijave'!$A$11:$F$210,5))</f>
        <v>44</v>
      </c>
      <c r="L14" s="485">
        <f t="shared" si="0"/>
        <v>90</v>
      </c>
      <c r="M14" s="486" t="s">
        <v>79</v>
      </c>
      <c r="N14" s="487" t="str">
        <f t="shared" si="1"/>
        <v>A</v>
      </c>
      <c r="O14" s="472"/>
      <c r="Q14" s="223">
        <f t="shared" si="2"/>
        <v>90</v>
      </c>
      <c r="R14" s="224" t="str">
        <f t="shared" si="3"/>
        <v>Josip BOBOK / Karlo NOTHIG</v>
      </c>
      <c r="S14" s="224" t="str">
        <f t="shared" si="4"/>
        <v xml:space="preserve">Josip BOBOK / </v>
      </c>
      <c r="T14" s="224" t="str">
        <f t="shared" si="5"/>
        <v xml:space="preserve"> / Karlo NOTHIG</v>
      </c>
      <c r="U14" s="227" t="s">
        <v>571</v>
      </c>
      <c r="V14" s="228" t="s">
        <v>572</v>
      </c>
    </row>
    <row r="15" spans="1:22" ht="26.25" customHeight="1" x14ac:dyDescent="0.2">
      <c r="A15" s="82">
        <v>5</v>
      </c>
      <c r="B15" s="480">
        <v>16</v>
      </c>
      <c r="C15" s="481" t="str">
        <f>UPPER(IF($B15="","",VLOOKUP($B15,'Lista prijave'!$A$11:$F$210,2)))</f>
        <v>KRŽIĆ</v>
      </c>
      <c r="D15" s="481" t="str">
        <f>IF($B15="","",VLOOKUP($B15,'Lista prijave'!$A$11:$F$210,3))</f>
        <v>Tin</v>
      </c>
      <c r="E15" s="482" t="str">
        <f>IF($B15="","",VLOOKUP($B15,'Lista prijave'!$A$11:$F$210,4))</f>
        <v>TER</v>
      </c>
      <c r="F15" s="483">
        <f>IF($B15="","",VLOOKUP($B15,'Lista prijave'!$A$11:$F$210,5))</f>
        <v>66</v>
      </c>
      <c r="G15" s="484">
        <v>6</v>
      </c>
      <c r="H15" s="481" t="str">
        <f>UPPER(IF($G15="","",VLOOKUP($G15,'Lista prijave'!$A$11:$F$210,2)))</f>
        <v>NIKOLIĆ</v>
      </c>
      <c r="I15" s="481" t="str">
        <f>IF($G15="","",VLOOKUP($G15,'Lista prijave'!$A$11:$F$210,3))</f>
        <v>Erik</v>
      </c>
      <c r="J15" s="482" t="str">
        <f>IF($G15="","",VLOOKUP($G15,'Lista prijave'!$A$11:$F$210,4))</f>
        <v>ZGI</v>
      </c>
      <c r="K15" s="483">
        <f>IF($G15="","",VLOOKUP($G15,'Lista prijave'!$A$11:$F$210,5))</f>
        <v>36</v>
      </c>
      <c r="L15" s="485">
        <f t="shared" si="0"/>
        <v>102</v>
      </c>
      <c r="M15" s="486" t="s">
        <v>79</v>
      </c>
      <c r="N15" s="487" t="str">
        <f t="shared" si="1"/>
        <v>A</v>
      </c>
      <c r="O15" s="472"/>
      <c r="Q15" s="223">
        <f t="shared" si="2"/>
        <v>102</v>
      </c>
      <c r="R15" s="224" t="str">
        <f t="shared" si="3"/>
        <v>Tin KRŽIĆ / Erik NIKOLIĆ</v>
      </c>
      <c r="S15" s="224" t="str">
        <f t="shared" si="4"/>
        <v xml:space="preserve">Tin KRŽIĆ / </v>
      </c>
      <c r="T15" s="224" t="str">
        <f t="shared" si="5"/>
        <v xml:space="preserve"> / Erik NIKOLIĆ</v>
      </c>
      <c r="U15" s="227" t="s">
        <v>579</v>
      </c>
      <c r="V15" s="228" t="s">
        <v>580</v>
      </c>
    </row>
    <row r="16" spans="1:22" ht="26.25" customHeight="1" x14ac:dyDescent="0.2">
      <c r="A16" s="82">
        <v>6</v>
      </c>
      <c r="B16" s="480">
        <v>15</v>
      </c>
      <c r="C16" s="481" t="str">
        <f>UPPER(IF($B16="","",VLOOKUP($B16,'Lista prijave'!$A$11:$F$210,2)))</f>
        <v>MARIĆ</v>
      </c>
      <c r="D16" s="481" t="str">
        <f>IF($B16="","",VLOOKUP($B16,'Lista prijave'!$A$11:$F$210,3))</f>
        <v>Vid</v>
      </c>
      <c r="E16" s="482" t="str">
        <f>IF($B16="","",VLOOKUP($B16,'Lista prijave'!$A$11:$F$210,4))</f>
        <v>TSP</v>
      </c>
      <c r="F16" s="483">
        <f>IF($B16="","",VLOOKUP($B16,'Lista prijave'!$A$11:$F$210,5))</f>
        <v>63</v>
      </c>
      <c r="G16" s="484">
        <v>12</v>
      </c>
      <c r="H16" s="481" t="str">
        <f>UPPER(IF($G16="","",VLOOKUP($G16,'Lista prijave'!$A$11:$F$210,2)))</f>
        <v>ŠTABEK</v>
      </c>
      <c r="I16" s="481" t="str">
        <f>IF($G16="","",VLOOKUP($G16,'Lista prijave'!$A$11:$F$210,3))</f>
        <v>Domagoj</v>
      </c>
      <c r="J16" s="482" t="str">
        <f>IF($G16="","",VLOOKUP($G16,'Lista prijave'!$A$11:$F$210,4))</f>
        <v>TER</v>
      </c>
      <c r="K16" s="483">
        <f>IF($G16="","",VLOOKUP($G16,'Lista prijave'!$A$11:$F$210,5))</f>
        <v>51</v>
      </c>
      <c r="L16" s="485">
        <f t="shared" si="0"/>
        <v>114</v>
      </c>
      <c r="M16" s="486" t="s">
        <v>79</v>
      </c>
      <c r="N16" s="487" t="str">
        <f t="shared" si="1"/>
        <v>A</v>
      </c>
      <c r="O16" s="472"/>
      <c r="Q16" s="223">
        <f t="shared" si="2"/>
        <v>114</v>
      </c>
      <c r="R16" s="224" t="str">
        <f t="shared" si="3"/>
        <v>Vid MARIĆ / D. ŠTABEK</v>
      </c>
      <c r="S16" s="224" t="str">
        <f t="shared" si="4"/>
        <v xml:space="preserve">Vid MARIĆ / </v>
      </c>
      <c r="T16" s="224" t="str">
        <f t="shared" si="5"/>
        <v xml:space="preserve"> / D. ŠTABEK</v>
      </c>
      <c r="U16" s="227" t="s">
        <v>581</v>
      </c>
      <c r="V16" s="228" t="s">
        <v>582</v>
      </c>
    </row>
    <row r="17" spans="1:22" ht="26.25" customHeight="1" x14ac:dyDescent="0.2">
      <c r="A17" s="82">
        <v>7</v>
      </c>
      <c r="B17" s="480">
        <v>21</v>
      </c>
      <c r="C17" s="481" t="str">
        <f>UPPER(IF($B17="","",VLOOKUP($B17,'Lista prijave'!$A$11:$F$210,2)))</f>
        <v>BRADVIĆ</v>
      </c>
      <c r="D17" s="481" t="str">
        <f>IF($B17="","",VLOOKUP($B17,'Lista prijave'!$A$11:$F$210,3))</f>
        <v>Marko</v>
      </c>
      <c r="E17" s="482" t="str">
        <f>IF($B17="","",VLOOKUP($B17,'Lista prijave'!$A$11:$F$210,4))</f>
        <v>GMJ</v>
      </c>
      <c r="F17" s="483">
        <f>IF($B17="","",VLOOKUP($B17,'Lista prijave'!$A$11:$F$210,5))</f>
        <v>85</v>
      </c>
      <c r="G17" s="484">
        <v>8</v>
      </c>
      <c r="H17" s="481" t="str">
        <f>UPPER(IF($G17="","",VLOOKUP($G17,'Lista prijave'!$A$11:$F$210,2)))</f>
        <v>SALOPEK</v>
      </c>
      <c r="I17" s="481" t="str">
        <f>IF($G17="","",VLOOKUP($G17,'Lista prijave'!$A$11:$F$210,3))</f>
        <v>Dorian</v>
      </c>
      <c r="J17" s="482" t="str">
        <f>IF($G17="","",VLOOKUP($G17,'Lista prijave'!$A$11:$F$210,4))</f>
        <v>OG</v>
      </c>
      <c r="K17" s="483">
        <f>IF($G17="","",VLOOKUP($G17,'Lista prijave'!$A$11:$F$210,5))</f>
        <v>42</v>
      </c>
      <c r="L17" s="485">
        <f t="shared" si="0"/>
        <v>127</v>
      </c>
      <c r="M17" s="486" t="s">
        <v>79</v>
      </c>
      <c r="N17" s="487" t="str">
        <f t="shared" si="1"/>
        <v>A</v>
      </c>
      <c r="O17" s="472"/>
      <c r="Q17" s="223">
        <f t="shared" si="2"/>
        <v>127</v>
      </c>
      <c r="R17" s="224" t="str">
        <f t="shared" si="3"/>
        <v>Marko BRADVIĆ / D. SALOPEK</v>
      </c>
      <c r="S17" s="224" t="str">
        <f t="shared" si="4"/>
        <v xml:space="preserve">Marko BRADVIĆ / </v>
      </c>
      <c r="T17" s="224" t="str">
        <f t="shared" si="5"/>
        <v xml:space="preserve"> / D. SALOPEK</v>
      </c>
      <c r="U17" s="227" t="s">
        <v>583</v>
      </c>
      <c r="V17" s="228" t="s">
        <v>584</v>
      </c>
    </row>
    <row r="18" spans="1:22" ht="26.25" customHeight="1" x14ac:dyDescent="0.2">
      <c r="A18" s="82">
        <v>8</v>
      </c>
      <c r="B18" s="480">
        <v>33</v>
      </c>
      <c r="C18" s="481" t="str">
        <f>UPPER(IF($B18="","",VLOOKUP($B18,'Lista prijave'!$A$11:$F$210,2)))</f>
        <v>DRAŽIĆ</v>
      </c>
      <c r="D18" s="481" t="str">
        <f>IF($B18="","",VLOOKUP($B18,'Lista prijave'!$A$11:$F$210,3))</f>
        <v>Ivor</v>
      </c>
      <c r="E18" s="482" t="str">
        <f>IF($B18="","",VLOOKUP($B18,'Lista prijave'!$A$11:$F$210,4))</f>
        <v>SAM</v>
      </c>
      <c r="F18" s="483">
        <f>IF($B18="","",VLOOKUP($B18,'Lista prijave'!$A$11:$F$210,5))</f>
        <v>0</v>
      </c>
      <c r="G18" s="484">
        <v>48</v>
      </c>
      <c r="H18" s="481" t="str">
        <f>UPPER(IF($G18="","",VLOOKUP($G18,'Lista prijave'!$A$11:$F$210,2)))</f>
        <v>SEVEROVIĆ</v>
      </c>
      <c r="I18" s="481" t="str">
        <f>IF($G18="","",VLOOKUP($G18,'Lista prijave'!$A$11:$F$210,3))</f>
        <v>Patrik</v>
      </c>
      <c r="J18" s="482" t="str">
        <f>IF($G18="","",VLOOKUP($G18,'Lista prijave'!$A$11:$F$210,4))</f>
        <v>SAM</v>
      </c>
      <c r="K18" s="483">
        <f>IF($G18="","",VLOOKUP($G18,'Lista prijave'!$A$11:$F$210,5))</f>
        <v>0</v>
      </c>
      <c r="L18" s="485">
        <f t="shared" si="0"/>
        <v>0</v>
      </c>
      <c r="M18" s="486" t="s">
        <v>80</v>
      </c>
      <c r="N18" s="487" t="str">
        <f t="shared" si="1"/>
        <v>C</v>
      </c>
      <c r="O18" s="472"/>
      <c r="Q18" s="223">
        <f t="shared" si="2"/>
        <v>0</v>
      </c>
      <c r="R18" s="224" t="str">
        <f t="shared" si="3"/>
        <v>Ivor DRAŽIĆ / P. SEVEROVIĆ</v>
      </c>
      <c r="S18" s="224" t="str">
        <f t="shared" si="4"/>
        <v xml:space="preserve">Ivor DRAŽIĆ / </v>
      </c>
      <c r="T18" s="224" t="str">
        <f t="shared" si="5"/>
        <v xml:space="preserve"> / P. SEVEROVIĆ</v>
      </c>
      <c r="U18" s="227" t="s">
        <v>573</v>
      </c>
      <c r="V18" s="228" t="s">
        <v>574</v>
      </c>
    </row>
    <row r="19" spans="1:22" ht="26.25" customHeight="1" x14ac:dyDescent="0.2">
      <c r="A19" s="82">
        <v>9</v>
      </c>
      <c r="B19" s="480"/>
      <c r="C19" s="481" t="str">
        <f>UPPER(IF($B19="","",VLOOKUP($B19,'Lista prijave'!$A$11:$F$210,2)))</f>
        <v/>
      </c>
      <c r="D19" s="481" t="str">
        <f>IF($B19="","",VLOOKUP($B19,'Lista prijave'!$A$11:$F$210,3))</f>
        <v/>
      </c>
      <c r="E19" s="482" t="str">
        <f>IF($B19="","",VLOOKUP($B19,'Lista prijave'!$A$11:$F$210,4))</f>
        <v/>
      </c>
      <c r="F19" s="483" t="str">
        <f>IF($B19="","",VLOOKUP($B19,'Lista prijave'!$A$11:$F$210,5))</f>
        <v/>
      </c>
      <c r="G19" s="484"/>
      <c r="H19" s="481" t="str">
        <f>UPPER(IF($G19="","",VLOOKUP($G19,'Lista prijave'!$A$11:$F$210,2)))</f>
        <v/>
      </c>
      <c r="I19" s="481" t="str">
        <f>IF($G19="","",VLOOKUP($G19,'Lista prijave'!$A$11:$F$210,3))</f>
        <v/>
      </c>
      <c r="J19" s="482" t="str">
        <f>IF($G19="","",VLOOKUP($G19,'Lista prijave'!$A$11:$F$210,4))</f>
        <v/>
      </c>
      <c r="K19" s="483" t="str">
        <f>IF($G19="","",VLOOKUP($G19,'Lista prijave'!$A$11:$F$210,5))</f>
        <v/>
      </c>
      <c r="L19" s="485" t="str">
        <f t="shared" si="0"/>
        <v/>
      </c>
      <c r="M19" s="486"/>
      <c r="N19" s="487" t="str">
        <f t="shared" si="1"/>
        <v/>
      </c>
      <c r="O19" s="472"/>
      <c r="Q19" s="223" t="str">
        <f t="shared" si="2"/>
        <v/>
      </c>
      <c r="R19" s="224" t="str">
        <f t="shared" si="3"/>
        <v/>
      </c>
      <c r="S19" s="224" t="str">
        <f t="shared" si="4"/>
        <v/>
      </c>
      <c r="T19" s="224" t="str">
        <f t="shared" si="5"/>
        <v/>
      </c>
      <c r="U19" s="227" t="s">
        <v>308</v>
      </c>
      <c r="V19" s="228" t="s">
        <v>308</v>
      </c>
    </row>
    <row r="20" spans="1:22" ht="26.25" customHeight="1" x14ac:dyDescent="0.2">
      <c r="A20" s="82">
        <v>10</v>
      </c>
      <c r="B20" s="480"/>
      <c r="C20" s="481" t="str">
        <f>UPPER(IF($B20="","",VLOOKUP($B20,'Lista prijave'!$A$11:$F$210,2)))</f>
        <v/>
      </c>
      <c r="D20" s="481" t="str">
        <f>IF($B20="","",VLOOKUP($B20,'Lista prijave'!$A$11:$F$210,3))</f>
        <v/>
      </c>
      <c r="E20" s="482" t="str">
        <f>IF($B20="","",VLOOKUP($B20,'Lista prijave'!$A$11:$F$210,4))</f>
        <v/>
      </c>
      <c r="F20" s="483" t="str">
        <f>IF($B20="","",VLOOKUP($B20,'Lista prijave'!$A$11:$F$210,5))</f>
        <v/>
      </c>
      <c r="G20" s="484"/>
      <c r="H20" s="481" t="str">
        <f>UPPER(IF($G20="","",VLOOKUP($G20,'Lista prijave'!$A$11:$F$210,2)))</f>
        <v/>
      </c>
      <c r="I20" s="481" t="str">
        <f>IF($G20="","",VLOOKUP($G20,'Lista prijave'!$A$11:$F$210,3))</f>
        <v/>
      </c>
      <c r="J20" s="482" t="str">
        <f>IF($G20="","",VLOOKUP($G20,'Lista prijave'!$A$11:$F$210,4))</f>
        <v/>
      </c>
      <c r="K20" s="483" t="str">
        <f>IF($G20="","",VLOOKUP($G20,'Lista prijave'!$A$11:$F$210,5))</f>
        <v/>
      </c>
      <c r="L20" s="485" t="str">
        <f t="shared" si="0"/>
        <v/>
      </c>
      <c r="M20" s="486"/>
      <c r="N20" s="487" t="str">
        <f t="shared" si="1"/>
        <v/>
      </c>
      <c r="O20" s="489"/>
      <c r="Q20" s="223" t="str">
        <f t="shared" si="2"/>
        <v/>
      </c>
      <c r="R20" s="224" t="str">
        <f t="shared" si="3"/>
        <v/>
      </c>
      <c r="S20" s="224" t="str">
        <f t="shared" si="4"/>
        <v/>
      </c>
      <c r="T20" s="224" t="str">
        <f t="shared" si="5"/>
        <v/>
      </c>
      <c r="U20" s="227" t="s">
        <v>308</v>
      </c>
      <c r="V20" s="228" t="s">
        <v>308</v>
      </c>
    </row>
    <row r="21" spans="1:22" ht="26.25" customHeight="1" x14ac:dyDescent="0.2">
      <c r="A21" s="82">
        <v>11</v>
      </c>
      <c r="B21" s="480"/>
      <c r="C21" s="481" t="str">
        <f>UPPER(IF($B21="","",VLOOKUP($B21,'Lista prijave'!$A$11:$F$210,2)))</f>
        <v/>
      </c>
      <c r="D21" s="481" t="str">
        <f>IF($B21="","",VLOOKUP($B21,'Lista prijave'!$A$11:$F$210,3))</f>
        <v/>
      </c>
      <c r="E21" s="482" t="str">
        <f>IF($B21="","",VLOOKUP($B21,'Lista prijave'!$A$11:$F$210,4))</f>
        <v/>
      </c>
      <c r="F21" s="483" t="str">
        <f>IF($B21="","",VLOOKUP($B21,'Lista prijave'!$A$11:$F$210,5))</f>
        <v/>
      </c>
      <c r="G21" s="484"/>
      <c r="H21" s="481" t="str">
        <f>UPPER(IF($G21="","",VLOOKUP($G21,'Lista prijave'!$A$11:$F$210,2)))</f>
        <v/>
      </c>
      <c r="I21" s="481" t="str">
        <f>IF($G21="","",VLOOKUP($G21,'Lista prijave'!$A$11:$F$210,3))</f>
        <v/>
      </c>
      <c r="J21" s="482" t="str">
        <f>IF($G21="","",VLOOKUP($G21,'Lista prijave'!$A$11:$F$210,4))</f>
        <v/>
      </c>
      <c r="K21" s="483" t="str">
        <f>IF($G21="","",VLOOKUP($G21,'Lista prijave'!$A$11:$F$210,5))</f>
        <v/>
      </c>
      <c r="L21" s="485" t="str">
        <f t="shared" si="0"/>
        <v/>
      </c>
      <c r="M21" s="486"/>
      <c r="N21" s="487" t="str">
        <f t="shared" si="1"/>
        <v/>
      </c>
      <c r="O21" s="472"/>
      <c r="Q21" s="223" t="str">
        <f t="shared" si="2"/>
        <v/>
      </c>
      <c r="R21" s="224" t="str">
        <f t="shared" si="3"/>
        <v/>
      </c>
      <c r="S21" s="224" t="str">
        <f t="shared" si="4"/>
        <v/>
      </c>
      <c r="T21" s="224" t="str">
        <f t="shared" si="5"/>
        <v/>
      </c>
      <c r="U21" s="227" t="s">
        <v>308</v>
      </c>
      <c r="V21" s="228" t="s">
        <v>308</v>
      </c>
    </row>
    <row r="22" spans="1:22" ht="26.25" customHeight="1" x14ac:dyDescent="0.2">
      <c r="A22" s="82">
        <v>12</v>
      </c>
      <c r="B22" s="480">
        <v>14</v>
      </c>
      <c r="C22" s="481" t="str">
        <f>UPPER(IF($B22="","",VLOOKUP($B22,'Lista prijave'!$A$11:$F$210,2)))</f>
        <v>DUBOVEČAK</v>
      </c>
      <c r="D22" s="481" t="str">
        <f>IF($B22="","",VLOOKUP($B22,'Lista prijave'!$A$11:$F$210,3))</f>
        <v>Filip</v>
      </c>
      <c r="E22" s="482" t="str">
        <f>IF($B22="","",VLOOKUP($B22,'Lista prijave'!$A$11:$F$210,4))</f>
        <v>ITE</v>
      </c>
      <c r="F22" s="483">
        <f>IF($B22="","",VLOOKUP($B22,'Lista prijave'!$A$11:$F$210,5))</f>
        <v>62</v>
      </c>
      <c r="G22" s="484">
        <v>17</v>
      </c>
      <c r="H22" s="481" t="str">
        <f>UPPER(IF($G22="","",VLOOKUP($G22,'Lista prijave'!$A$11:$F$210,2)))</f>
        <v>HORVATIĆ</v>
      </c>
      <c r="I22" s="481" t="str">
        <f>IF($G22="","",VLOOKUP($G22,'Lista prijave'!$A$11:$F$210,3))</f>
        <v>Max Ivan</v>
      </c>
      <c r="J22" s="482" t="str">
        <f>IF($G22="","",VLOOKUP($G22,'Lista prijave'!$A$11:$F$210,4))</f>
        <v>ITE</v>
      </c>
      <c r="K22" s="483">
        <f>IF($G22="","",VLOOKUP($G22,'Lista prijave'!$A$11:$F$210,5))</f>
        <v>67</v>
      </c>
      <c r="L22" s="485">
        <f t="shared" si="0"/>
        <v>129</v>
      </c>
      <c r="M22" s="486"/>
      <c r="N22" s="487" t="str">
        <f t="shared" si="1"/>
        <v>A</v>
      </c>
      <c r="O22" s="488"/>
      <c r="Q22" s="223">
        <f t="shared" si="2"/>
        <v>129</v>
      </c>
      <c r="R22" s="224" t="str">
        <f t="shared" si="3"/>
        <v>F. DUBOVEČAK / M. HORVATIĆ</v>
      </c>
      <c r="S22" s="224" t="str">
        <f t="shared" si="4"/>
        <v xml:space="preserve">F. DUBOVEČAK / </v>
      </c>
      <c r="T22" s="224" t="str">
        <f t="shared" si="5"/>
        <v xml:space="preserve"> / M. HORVATIĆ</v>
      </c>
      <c r="U22" s="227" t="s">
        <v>561</v>
      </c>
      <c r="V22" s="228" t="s">
        <v>562</v>
      </c>
    </row>
    <row r="23" spans="1:22" ht="26.25" customHeight="1" x14ac:dyDescent="0.2">
      <c r="A23" s="82">
        <v>13</v>
      </c>
      <c r="B23" s="480">
        <v>13</v>
      </c>
      <c r="C23" s="481" t="str">
        <f>UPPER(IF($B23="","",VLOOKUP($B23,'Lista prijave'!$A$11:$F$210,2)))</f>
        <v>KRSTANOVIĆ</v>
      </c>
      <c r="D23" s="481" t="str">
        <f>IF($B23="","",VLOOKUP($B23,'Lista prijave'!$A$11:$F$210,3))</f>
        <v>Luka</v>
      </c>
      <c r="E23" s="482" t="str">
        <f>IF($B23="","",VLOOKUP($B23,'Lista prijave'!$A$11:$F$210,4))</f>
        <v>PON</v>
      </c>
      <c r="F23" s="483">
        <f>IF($B23="","",VLOOKUP($B23,'Lista prijave'!$A$11:$F$210,5))</f>
        <v>57</v>
      </c>
      <c r="G23" s="484">
        <v>40</v>
      </c>
      <c r="H23" s="481" t="str">
        <f>UPPER(IF($G23="","",VLOOKUP($G23,'Lista prijave'!$A$11:$F$210,2)))</f>
        <v>MARIĆ</v>
      </c>
      <c r="I23" s="481" t="str">
        <f>IF($G23="","",VLOOKUP($G23,'Lista prijave'!$A$11:$F$210,3))</f>
        <v>Hrvoje</v>
      </c>
      <c r="J23" s="482" t="str">
        <f>IF($G23="","",VLOOKUP($G23,'Lista prijave'!$A$11:$F$210,4))</f>
        <v>PON</v>
      </c>
      <c r="K23" s="483">
        <f>IF($G23="","",VLOOKUP($G23,'Lista prijave'!$A$11:$F$210,5))</f>
        <v>0</v>
      </c>
      <c r="L23" s="485">
        <f t="shared" si="0"/>
        <v>57</v>
      </c>
      <c r="M23" s="486"/>
      <c r="N23" s="487" t="str">
        <f t="shared" si="1"/>
        <v>B</v>
      </c>
      <c r="O23" s="472"/>
      <c r="Q23" s="223">
        <f t="shared" si="2"/>
        <v>57</v>
      </c>
      <c r="R23" s="224" t="str">
        <f t="shared" si="3"/>
        <v>L. KRSTANOVIĆ / Hrvoje MARIĆ</v>
      </c>
      <c r="S23" s="224" t="str">
        <f t="shared" si="4"/>
        <v xml:space="preserve">L. KRSTANOVIĆ / </v>
      </c>
      <c r="T23" s="224" t="str">
        <f t="shared" si="5"/>
        <v xml:space="preserve"> / Hrvoje MARIĆ</v>
      </c>
      <c r="U23" s="227" t="s">
        <v>569</v>
      </c>
      <c r="V23" s="228" t="s">
        <v>570</v>
      </c>
    </row>
    <row r="24" spans="1:22" ht="26.25" customHeight="1" x14ac:dyDescent="0.2">
      <c r="A24" s="82">
        <v>14</v>
      </c>
      <c r="B24" s="480">
        <v>47</v>
      </c>
      <c r="C24" s="481" t="str">
        <f>UPPER(IF($B24="","",VLOOKUP($B24,'Lista prijave'!$A$11:$F$210,2)))</f>
        <v>SCHNEIDER</v>
      </c>
      <c r="D24" s="481" t="str">
        <f>IF($B24="","",VLOOKUP($B24,'Lista prijave'!$A$11:$F$210,3))</f>
        <v>Mihael</v>
      </c>
      <c r="E24" s="482" t="str">
        <f>IF($B24="","",VLOOKUP($B24,'Lista prijave'!$A$11:$F$210,4))</f>
        <v>HTK</v>
      </c>
      <c r="F24" s="483">
        <f>IF($B24="","",VLOOKUP($B24,'Lista prijave'!$A$11:$F$210,5))</f>
        <v>0</v>
      </c>
      <c r="G24" s="484">
        <v>19</v>
      </c>
      <c r="H24" s="481" t="str">
        <f>UPPER(IF($G24="","",VLOOKUP($G24,'Lista prijave'!$A$11:$F$210,2)))</f>
        <v>ŠANTIĆ</v>
      </c>
      <c r="I24" s="481" t="str">
        <f>IF($G24="","",VLOOKUP($G24,'Lista prijave'!$A$11:$F$210,3))</f>
        <v>Leopold</v>
      </c>
      <c r="J24" s="482" t="str">
        <f>IF($G24="","",VLOOKUP($G24,'Lista prijave'!$A$11:$F$210,4))</f>
        <v>DID</v>
      </c>
      <c r="K24" s="483">
        <f>IF($G24="","",VLOOKUP($G24,'Lista prijave'!$A$11:$F$210,5))</f>
        <v>72</v>
      </c>
      <c r="L24" s="485">
        <f t="shared" si="0"/>
        <v>72</v>
      </c>
      <c r="M24" s="486"/>
      <c r="N24" s="487" t="str">
        <f t="shared" si="1"/>
        <v>B</v>
      </c>
      <c r="O24" s="472"/>
      <c r="Q24" s="223">
        <f t="shared" si="2"/>
        <v>72</v>
      </c>
      <c r="R24" s="224" t="str">
        <f t="shared" si="3"/>
        <v>M. SCHNEIDER / L. ŠANTIĆ</v>
      </c>
      <c r="S24" s="224" t="str">
        <f t="shared" si="4"/>
        <v xml:space="preserve">M. SCHNEIDER / </v>
      </c>
      <c r="T24" s="224" t="str">
        <f t="shared" si="5"/>
        <v xml:space="preserve"> / L. ŠANTIĆ</v>
      </c>
      <c r="U24" s="227" t="s">
        <v>575</v>
      </c>
      <c r="V24" s="228" t="s">
        <v>576</v>
      </c>
    </row>
    <row r="25" spans="1:22" ht="26.25" customHeight="1" x14ac:dyDescent="0.2">
      <c r="A25" s="82">
        <v>15</v>
      </c>
      <c r="B25" s="480">
        <v>31</v>
      </c>
      <c r="C25" s="481" t="str">
        <f>UPPER(IF($B25="","",VLOOKUP($B25,'Lista prijave'!$A$11:$F$210,2)))</f>
        <v>BENČEC</v>
      </c>
      <c r="D25" s="481" t="str">
        <f>IF($B25="","",VLOOKUP($B25,'Lista prijave'!$A$11:$F$210,3))</f>
        <v>Benjamin</v>
      </c>
      <c r="E25" s="482" t="str">
        <f>IF($B25="","",VLOOKUP($B25,'Lista prijave'!$A$11:$F$210,4))</f>
        <v>TTC</v>
      </c>
      <c r="F25" s="483">
        <f>IF($B25="","",VLOOKUP($B25,'Lista prijave'!$A$11:$F$210,5))</f>
        <v>0</v>
      </c>
      <c r="G25" s="484">
        <v>22</v>
      </c>
      <c r="H25" s="481" t="str">
        <f>UPPER(IF($G25="","",VLOOKUP($G25,'Lista prijave'!$A$11:$F$210,2)))</f>
        <v>KARAČIĆ</v>
      </c>
      <c r="I25" s="481" t="str">
        <f>IF($G25="","",VLOOKUP($G25,'Lista prijave'!$A$11:$F$210,3))</f>
        <v>Vilim</v>
      </c>
      <c r="J25" s="482" t="str">
        <f>IF($G25="","",VLOOKUP($G25,'Lista prijave'!$A$11:$F$210,4))</f>
        <v>TER</v>
      </c>
      <c r="K25" s="483">
        <f>IF($G25="","",VLOOKUP($G25,'Lista prijave'!$A$11:$F$210,5))</f>
        <v>85</v>
      </c>
      <c r="L25" s="485">
        <f t="shared" si="0"/>
        <v>85</v>
      </c>
      <c r="M25" s="486"/>
      <c r="N25" s="487" t="str">
        <f t="shared" si="1"/>
        <v>B</v>
      </c>
      <c r="O25" s="472"/>
      <c r="Q25" s="223">
        <f t="shared" si="2"/>
        <v>85</v>
      </c>
      <c r="R25" s="224" t="str">
        <f t="shared" si="3"/>
        <v>B. BENČEC / Vilim KARAČIĆ</v>
      </c>
      <c r="S25" s="224" t="str">
        <f t="shared" si="4"/>
        <v xml:space="preserve">B. BENČEC / </v>
      </c>
      <c r="T25" s="224" t="str">
        <f t="shared" si="5"/>
        <v xml:space="preserve"> / Vilim KARAČIĆ</v>
      </c>
      <c r="U25" s="227" t="s">
        <v>577</v>
      </c>
      <c r="V25" s="228" t="s">
        <v>578</v>
      </c>
    </row>
    <row r="26" spans="1:22" ht="26.25" customHeight="1" thickBot="1" x14ac:dyDescent="0.25">
      <c r="A26" s="83">
        <v>16</v>
      </c>
      <c r="B26" s="490">
        <v>23</v>
      </c>
      <c r="C26" s="491" t="str">
        <f>UPPER(IF($B26="","",VLOOKUP($B26,'Lista prijave'!$A$11:$F$210,2)))</f>
        <v>CEREZIN</v>
      </c>
      <c r="D26" s="491" t="str">
        <f>IF($B26="","",VLOOKUP($B26,'Lista prijave'!$A$11:$F$210,3))</f>
        <v>Vito</v>
      </c>
      <c r="E26" s="492" t="str">
        <f>IF($B26="","",VLOOKUP($B26,'Lista prijave'!$A$11:$F$210,4))</f>
        <v>TTC</v>
      </c>
      <c r="F26" s="493">
        <f>IF($B26="","",VLOOKUP($B26,'Lista prijave'!$A$11:$F$210,5))</f>
        <v>94</v>
      </c>
      <c r="G26" s="494">
        <v>52</v>
      </c>
      <c r="H26" s="491" t="str">
        <f>UPPER(IF($G26="","",VLOOKUP($G26,'Lista prijave'!$A$11:$F$210,2)))</f>
        <v>VIDUKA</v>
      </c>
      <c r="I26" s="491" t="str">
        <f>IF($G26="","",VLOOKUP($G26,'Lista prijave'!$A$11:$F$210,3))</f>
        <v>Noa</v>
      </c>
      <c r="J26" s="492" t="str">
        <f>IF($G26="","",VLOOKUP($G26,'Lista prijave'!$A$11:$F$210,4))</f>
        <v>HRJ</v>
      </c>
      <c r="K26" s="493">
        <f>IF($G26="","",VLOOKUP($G26,'Lista prijave'!$A$11:$F$210,5))</f>
        <v>0</v>
      </c>
      <c r="L26" s="495">
        <f t="shared" si="0"/>
        <v>94</v>
      </c>
      <c r="M26" s="496"/>
      <c r="N26" s="497" t="str">
        <f t="shared" si="1"/>
        <v>B</v>
      </c>
      <c r="O26" s="475"/>
      <c r="Q26" s="223">
        <f t="shared" si="2"/>
        <v>94</v>
      </c>
      <c r="R26" s="224" t="str">
        <f t="shared" si="3"/>
        <v>Vito CEREZIN / Noa VIDUKA</v>
      </c>
      <c r="S26" s="224" t="str">
        <f t="shared" si="4"/>
        <v xml:space="preserve">Vito CEREZIN / </v>
      </c>
      <c r="T26" s="224" t="str">
        <f t="shared" si="5"/>
        <v xml:space="preserve"> / Noa VIDUKA</v>
      </c>
      <c r="U26" s="229" t="s">
        <v>585</v>
      </c>
      <c r="V26" s="230" t="s">
        <v>586</v>
      </c>
    </row>
    <row r="27" spans="1:22" ht="20.25" customHeight="1" x14ac:dyDescent="0.2"/>
    <row r="28" spans="1:22" ht="20.25" customHeight="1" x14ac:dyDescent="0.2"/>
    <row r="29" spans="1:22" ht="20.25" customHeight="1" x14ac:dyDescent="0.2"/>
    <row r="30" spans="1:22" ht="20.25" customHeight="1" x14ac:dyDescent="0.2"/>
    <row r="31" spans="1:22" ht="20.25" customHeight="1" x14ac:dyDescent="0.2"/>
    <row r="32" spans="1:22" ht="20.25" customHeight="1" x14ac:dyDescent="0.2"/>
    <row r="33" spans="3:15" ht="20.25" customHeight="1" x14ac:dyDescent="0.2"/>
    <row r="34" spans="3:15" ht="20.25" customHeight="1" x14ac:dyDescent="0.2"/>
    <row r="35" spans="3:15" ht="20.25" customHeight="1" x14ac:dyDescent="0.2"/>
    <row r="36" spans="3:15" ht="20.25" customHeight="1" x14ac:dyDescent="0.2"/>
    <row r="37" spans="3:15" ht="20.25" customHeight="1" x14ac:dyDescent="0.2"/>
    <row r="38" spans="3:15" ht="20.25" customHeight="1" x14ac:dyDescent="0.2"/>
    <row r="39" spans="3:15" ht="20.25" customHeight="1" x14ac:dyDescent="0.2"/>
    <row r="40" spans="3:15" ht="20.25" customHeight="1" x14ac:dyDescent="0.2"/>
    <row r="41" spans="3:15" ht="20.25" customHeight="1" x14ac:dyDescent="0.2"/>
    <row r="42" spans="3:15" ht="20.25" customHeight="1" x14ac:dyDescent="0.2"/>
    <row r="43" spans="3:15" x14ac:dyDescent="0.2">
      <c r="C43" s="85"/>
      <c r="D43" s="85"/>
      <c r="E43" s="86"/>
      <c r="F43" s="86"/>
      <c r="G43" s="86"/>
      <c r="H43" s="86"/>
      <c r="I43" s="86"/>
      <c r="J43" s="86"/>
      <c r="K43" s="86"/>
      <c r="L43" s="86"/>
      <c r="M43" s="86"/>
      <c r="N43" s="86"/>
      <c r="O43" s="86"/>
    </row>
    <row r="44" spans="3:15" x14ac:dyDescent="0.2">
      <c r="C44" s="85"/>
      <c r="D44" s="85"/>
      <c r="E44" s="86"/>
      <c r="F44" s="86"/>
      <c r="G44" s="86"/>
      <c r="H44" s="86"/>
      <c r="I44" s="86"/>
      <c r="J44" s="86"/>
      <c r="K44" s="86"/>
      <c r="L44" s="86"/>
      <c r="M44" s="86"/>
      <c r="N44" s="86"/>
      <c r="O44" s="86"/>
    </row>
    <row r="45" spans="3:15" x14ac:dyDescent="0.2">
      <c r="C45" s="119"/>
      <c r="D45" s="119"/>
      <c r="E45" s="23"/>
      <c r="F45" s="23"/>
      <c r="G45" s="23"/>
      <c r="H45" s="23"/>
      <c r="I45" s="23"/>
      <c r="J45" s="23"/>
      <c r="K45" s="23"/>
      <c r="L45" s="23"/>
      <c r="M45" s="23"/>
      <c r="N45" s="23"/>
      <c r="O45" s="23"/>
    </row>
    <row r="46" spans="3:15" x14ac:dyDescent="0.2">
      <c r="C46" s="119"/>
      <c r="D46" s="119"/>
      <c r="E46" s="23"/>
      <c r="F46" s="23"/>
      <c r="G46" s="23"/>
      <c r="H46" s="23"/>
      <c r="I46" s="23"/>
      <c r="J46" s="23"/>
      <c r="K46" s="23"/>
      <c r="L46" s="23"/>
      <c r="M46" s="23"/>
      <c r="N46" s="23"/>
      <c r="O46" s="23"/>
    </row>
    <row r="47" spans="3:15" x14ac:dyDescent="0.2">
      <c r="C47" s="119"/>
      <c r="D47" s="119"/>
      <c r="E47" s="23"/>
      <c r="F47" s="23"/>
      <c r="G47" s="23"/>
      <c r="H47" s="23"/>
      <c r="I47" s="23"/>
      <c r="J47" s="23"/>
      <c r="K47" s="23"/>
      <c r="L47" s="23"/>
      <c r="M47" s="23"/>
      <c r="N47" s="23"/>
      <c r="O47" s="23"/>
    </row>
    <row r="48" spans="3:15" x14ac:dyDescent="0.2">
      <c r="C48" s="119"/>
      <c r="D48" s="119"/>
      <c r="E48" s="23"/>
      <c r="F48" s="23"/>
      <c r="G48" s="23"/>
      <c r="H48" s="23"/>
      <c r="I48" s="23"/>
      <c r="J48" s="23"/>
      <c r="K48" s="23"/>
      <c r="L48" s="23"/>
      <c r="M48" s="23"/>
      <c r="N48" s="23"/>
      <c r="O48" s="23"/>
    </row>
    <row r="49" spans="3:15" x14ac:dyDescent="0.2">
      <c r="C49" s="119"/>
      <c r="D49" s="119"/>
      <c r="E49" s="23"/>
      <c r="F49" s="23"/>
      <c r="G49" s="23"/>
      <c r="H49" s="23"/>
      <c r="I49" s="23"/>
      <c r="J49" s="23"/>
      <c r="K49" s="23"/>
      <c r="L49" s="23"/>
      <c r="M49" s="23"/>
      <c r="N49" s="23"/>
      <c r="O49" s="23"/>
    </row>
    <row r="50" spans="3:15" x14ac:dyDescent="0.2">
      <c r="C50" s="119"/>
      <c r="D50" s="119"/>
      <c r="E50" s="23"/>
      <c r="F50" s="23"/>
      <c r="G50" s="23"/>
      <c r="H50" s="23"/>
      <c r="I50" s="23"/>
      <c r="J50" s="23"/>
      <c r="K50" s="23"/>
      <c r="L50" s="23"/>
      <c r="M50" s="23"/>
      <c r="N50" s="23"/>
      <c r="O50" s="23"/>
    </row>
    <row r="51" spans="3:15" x14ac:dyDescent="0.2">
      <c r="C51" s="119"/>
      <c r="D51" s="119"/>
      <c r="E51" s="23"/>
      <c r="F51" s="23"/>
      <c r="G51" s="23"/>
      <c r="H51" s="23"/>
      <c r="I51" s="23"/>
      <c r="J51" s="23"/>
      <c r="K51" s="23"/>
      <c r="L51" s="23"/>
      <c r="M51" s="23"/>
      <c r="N51" s="23"/>
      <c r="O51" s="23"/>
    </row>
    <row r="52" spans="3:15" x14ac:dyDescent="0.2">
      <c r="C52" s="119"/>
      <c r="D52" s="119"/>
      <c r="E52" s="23"/>
      <c r="F52" s="23"/>
      <c r="G52" s="23"/>
      <c r="H52" s="23"/>
      <c r="I52" s="23"/>
      <c r="J52" s="23"/>
      <c r="K52" s="23"/>
      <c r="L52" s="23"/>
      <c r="M52" s="23"/>
      <c r="N52" s="23"/>
      <c r="O52" s="23"/>
    </row>
    <row r="53" spans="3:15" x14ac:dyDescent="0.2">
      <c r="C53" s="119"/>
      <c r="D53" s="119"/>
      <c r="E53" s="23"/>
      <c r="F53" s="23"/>
      <c r="G53" s="23"/>
      <c r="H53" s="23"/>
      <c r="I53" s="23"/>
      <c r="J53" s="23"/>
      <c r="K53" s="23"/>
      <c r="L53" s="23"/>
      <c r="M53" s="23"/>
      <c r="N53" s="23"/>
      <c r="O53" s="23"/>
    </row>
    <row r="54" spans="3:15" x14ac:dyDescent="0.2">
      <c r="C54" s="119"/>
      <c r="D54" s="119"/>
      <c r="E54" s="23"/>
      <c r="F54" s="23"/>
      <c r="G54" s="23"/>
      <c r="H54" s="23"/>
      <c r="I54" s="23"/>
      <c r="J54" s="23"/>
      <c r="K54" s="23"/>
      <c r="L54" s="23"/>
      <c r="M54" s="23"/>
      <c r="N54" s="23"/>
      <c r="O54" s="23"/>
    </row>
    <row r="55" spans="3:15" x14ac:dyDescent="0.2">
      <c r="C55" s="119"/>
      <c r="D55" s="119"/>
      <c r="E55" s="23"/>
      <c r="F55" s="23"/>
      <c r="G55" s="23"/>
      <c r="H55" s="23"/>
      <c r="I55" s="23"/>
      <c r="J55" s="23"/>
      <c r="K55" s="23"/>
      <c r="L55" s="23"/>
      <c r="M55" s="23"/>
      <c r="N55" s="23"/>
      <c r="O55" s="23"/>
    </row>
    <row r="56" spans="3:15" x14ac:dyDescent="0.2">
      <c r="C56" s="119"/>
      <c r="D56" s="119"/>
      <c r="E56" s="23"/>
      <c r="F56" s="23"/>
      <c r="G56" s="23"/>
      <c r="H56" s="23"/>
      <c r="I56" s="23"/>
      <c r="J56" s="23"/>
      <c r="K56" s="23"/>
      <c r="L56" s="23"/>
      <c r="M56" s="23"/>
      <c r="N56" s="23"/>
      <c r="O56" s="23"/>
    </row>
    <row r="57" spans="3:15" x14ac:dyDescent="0.2">
      <c r="C57" s="119"/>
      <c r="D57" s="119"/>
      <c r="E57" s="23"/>
      <c r="F57" s="23"/>
      <c r="G57" s="23"/>
      <c r="H57" s="23"/>
      <c r="I57" s="23"/>
      <c r="J57" s="23"/>
      <c r="K57" s="23"/>
      <c r="L57" s="23"/>
      <c r="M57" s="23"/>
      <c r="N57" s="23"/>
      <c r="O57" s="23"/>
    </row>
    <row r="58" spans="3:15" x14ac:dyDescent="0.2">
      <c r="C58" s="119"/>
      <c r="D58" s="119"/>
      <c r="E58" s="23"/>
      <c r="F58" s="23"/>
      <c r="G58" s="23"/>
      <c r="H58" s="23"/>
      <c r="I58" s="23"/>
      <c r="J58" s="23"/>
      <c r="K58" s="23"/>
      <c r="L58" s="23"/>
      <c r="M58" s="23"/>
      <c r="N58" s="23"/>
      <c r="O58" s="23"/>
    </row>
    <row r="59" spans="3:15" x14ac:dyDescent="0.2">
      <c r="C59" s="119"/>
      <c r="D59" s="119"/>
      <c r="E59" s="23"/>
      <c r="F59" s="23"/>
      <c r="G59" s="23"/>
      <c r="H59" s="23"/>
      <c r="I59" s="23"/>
      <c r="J59" s="23"/>
      <c r="K59" s="23"/>
      <c r="L59" s="23"/>
      <c r="M59" s="23"/>
      <c r="N59" s="23"/>
      <c r="O59" s="23"/>
    </row>
    <row r="60" spans="3:15" x14ac:dyDescent="0.2">
      <c r="C60" s="119"/>
      <c r="D60" s="119"/>
      <c r="E60" s="23"/>
      <c r="F60" s="23"/>
      <c r="G60" s="23"/>
      <c r="H60" s="23"/>
      <c r="I60" s="23"/>
      <c r="J60" s="23"/>
      <c r="K60" s="23"/>
      <c r="L60" s="23"/>
      <c r="M60" s="23"/>
      <c r="N60" s="23"/>
      <c r="O60" s="23"/>
    </row>
    <row r="61" spans="3:15" x14ac:dyDescent="0.2">
      <c r="C61" s="119"/>
      <c r="D61" s="119"/>
      <c r="E61" s="23"/>
      <c r="F61" s="23"/>
      <c r="G61" s="23"/>
      <c r="H61" s="23"/>
      <c r="I61" s="23"/>
      <c r="J61" s="23"/>
      <c r="K61" s="23"/>
      <c r="L61" s="23"/>
      <c r="M61" s="23"/>
      <c r="N61" s="23"/>
      <c r="O61" s="23"/>
    </row>
    <row r="62" spans="3:15" x14ac:dyDescent="0.2">
      <c r="C62" s="119"/>
      <c r="D62" s="119"/>
      <c r="E62" s="23"/>
      <c r="F62" s="23"/>
      <c r="G62" s="23"/>
      <c r="H62" s="23"/>
      <c r="I62" s="23"/>
      <c r="J62" s="23"/>
      <c r="K62" s="23"/>
      <c r="L62" s="23"/>
      <c r="M62" s="23"/>
      <c r="N62" s="23"/>
      <c r="O62" s="23"/>
    </row>
    <row r="63" spans="3:15" x14ac:dyDescent="0.2">
      <c r="C63" s="119"/>
      <c r="D63" s="119"/>
      <c r="E63" s="23"/>
      <c r="F63" s="23"/>
      <c r="G63" s="23"/>
      <c r="H63" s="23"/>
      <c r="I63" s="23"/>
      <c r="J63" s="23"/>
      <c r="K63" s="23"/>
      <c r="L63" s="23"/>
      <c r="M63" s="23"/>
      <c r="N63" s="23"/>
      <c r="O63" s="23"/>
    </row>
    <row r="64" spans="3:15" x14ac:dyDescent="0.2">
      <c r="C64" s="119"/>
      <c r="D64" s="119"/>
      <c r="E64" s="23"/>
      <c r="F64" s="23"/>
      <c r="G64" s="23"/>
      <c r="H64" s="23"/>
      <c r="I64" s="23"/>
      <c r="J64" s="23"/>
      <c r="K64" s="23"/>
      <c r="L64" s="23"/>
      <c r="M64" s="23"/>
      <c r="N64" s="23"/>
      <c r="O64" s="23"/>
    </row>
    <row r="65" spans="3:15" x14ac:dyDescent="0.2">
      <c r="C65" s="119"/>
      <c r="D65" s="119"/>
      <c r="E65" s="23"/>
      <c r="F65" s="23"/>
      <c r="G65" s="23"/>
      <c r="H65" s="23"/>
      <c r="I65" s="23"/>
      <c r="J65" s="23"/>
      <c r="K65" s="23"/>
      <c r="L65" s="23"/>
      <c r="M65" s="23"/>
      <c r="N65" s="23"/>
      <c r="O65" s="23"/>
    </row>
    <row r="66" spans="3:15" x14ac:dyDescent="0.2">
      <c r="C66" s="119"/>
      <c r="D66" s="119"/>
      <c r="E66" s="23"/>
      <c r="F66" s="23"/>
      <c r="G66" s="23"/>
      <c r="H66" s="23"/>
      <c r="I66" s="23"/>
      <c r="J66" s="23"/>
      <c r="K66" s="23"/>
      <c r="L66" s="23"/>
      <c r="M66" s="23"/>
      <c r="N66" s="23"/>
      <c r="O66" s="23"/>
    </row>
    <row r="67" spans="3:15" x14ac:dyDescent="0.2">
      <c r="C67" s="119"/>
      <c r="D67" s="119"/>
      <c r="E67" s="23"/>
      <c r="F67" s="23"/>
      <c r="G67" s="23"/>
      <c r="H67" s="23"/>
      <c r="I67" s="23"/>
      <c r="J67" s="23"/>
      <c r="K67" s="23"/>
      <c r="L67" s="23"/>
      <c r="M67" s="23"/>
      <c r="N67" s="23"/>
      <c r="O67" s="23"/>
    </row>
    <row r="68" spans="3:15" x14ac:dyDescent="0.2">
      <c r="C68" s="119"/>
      <c r="D68" s="119"/>
      <c r="E68" s="23"/>
      <c r="F68" s="23"/>
      <c r="G68" s="23"/>
      <c r="H68" s="23"/>
      <c r="I68" s="23"/>
      <c r="J68" s="23"/>
      <c r="K68" s="23"/>
      <c r="L68" s="23"/>
      <c r="M68" s="23"/>
      <c r="N68" s="23"/>
      <c r="O68" s="23"/>
    </row>
    <row r="69" spans="3:15" x14ac:dyDescent="0.2">
      <c r="C69" s="119"/>
      <c r="D69" s="119"/>
      <c r="E69" s="23"/>
      <c r="F69" s="23"/>
      <c r="G69" s="23"/>
      <c r="H69" s="23"/>
      <c r="I69" s="23"/>
      <c r="J69" s="23"/>
      <c r="K69" s="23"/>
      <c r="L69" s="23"/>
      <c r="M69" s="23"/>
      <c r="N69" s="23"/>
      <c r="O69" s="23"/>
    </row>
    <row r="70" spans="3:15" x14ac:dyDescent="0.2">
      <c r="C70" s="119"/>
      <c r="D70" s="119"/>
      <c r="E70" s="23"/>
      <c r="F70" s="23"/>
      <c r="G70" s="23"/>
      <c r="H70" s="23"/>
      <c r="I70" s="23"/>
      <c r="J70" s="23"/>
      <c r="K70" s="23"/>
      <c r="L70" s="23"/>
      <c r="M70" s="23"/>
      <c r="N70" s="23"/>
      <c r="O70" s="23"/>
    </row>
    <row r="71" spans="3:15" x14ac:dyDescent="0.2">
      <c r="C71" s="119"/>
      <c r="D71" s="119"/>
      <c r="E71" s="23"/>
      <c r="F71" s="23"/>
      <c r="G71" s="23"/>
      <c r="H71" s="23"/>
      <c r="I71" s="23"/>
      <c r="J71" s="23"/>
      <c r="K71" s="23"/>
      <c r="L71" s="23"/>
      <c r="M71" s="23"/>
      <c r="N71" s="23"/>
      <c r="O71" s="23"/>
    </row>
    <row r="72" spans="3:15" x14ac:dyDescent="0.2">
      <c r="C72" s="119"/>
      <c r="D72" s="119"/>
      <c r="E72" s="23"/>
      <c r="F72" s="23"/>
      <c r="G72" s="23"/>
      <c r="H72" s="23"/>
      <c r="I72" s="23"/>
      <c r="J72" s="23"/>
      <c r="K72" s="23"/>
      <c r="L72" s="23"/>
      <c r="M72" s="23"/>
      <c r="N72" s="23"/>
      <c r="O72" s="23"/>
    </row>
    <row r="73" spans="3:15" x14ac:dyDescent="0.2">
      <c r="C73" s="119"/>
      <c r="D73" s="119"/>
      <c r="E73" s="23"/>
      <c r="F73" s="23"/>
      <c r="G73" s="23"/>
      <c r="H73" s="23"/>
      <c r="I73" s="23"/>
      <c r="J73" s="23"/>
      <c r="K73" s="23"/>
      <c r="L73" s="23"/>
      <c r="M73" s="23"/>
      <c r="N73" s="23"/>
      <c r="O73" s="23"/>
    </row>
    <row r="74" spans="3:15" x14ac:dyDescent="0.2">
      <c r="C74" s="119"/>
      <c r="D74" s="119"/>
      <c r="E74" s="23"/>
      <c r="F74" s="23"/>
      <c r="G74" s="23"/>
      <c r="H74" s="23"/>
      <c r="I74" s="23"/>
      <c r="J74" s="23"/>
      <c r="K74" s="23"/>
      <c r="L74" s="23"/>
      <c r="M74" s="23"/>
      <c r="N74" s="23"/>
      <c r="O74" s="23"/>
    </row>
    <row r="75" spans="3:15" x14ac:dyDescent="0.2">
      <c r="C75" s="119"/>
      <c r="D75" s="119"/>
      <c r="E75" s="23"/>
      <c r="F75" s="23"/>
      <c r="G75" s="23"/>
      <c r="H75" s="23"/>
      <c r="I75" s="23"/>
      <c r="J75" s="23"/>
      <c r="K75" s="23"/>
      <c r="L75" s="23"/>
      <c r="M75" s="23"/>
      <c r="N75" s="23"/>
      <c r="O75" s="23"/>
    </row>
    <row r="76" spans="3:15" x14ac:dyDescent="0.2">
      <c r="C76" s="119"/>
      <c r="D76" s="119"/>
      <c r="E76" s="23"/>
      <c r="F76" s="23"/>
      <c r="G76" s="23"/>
      <c r="H76" s="23"/>
      <c r="I76" s="23"/>
      <c r="J76" s="23"/>
      <c r="K76" s="23"/>
      <c r="L76" s="23"/>
      <c r="M76" s="23"/>
      <c r="N76" s="23"/>
      <c r="O76" s="23"/>
    </row>
    <row r="77" spans="3:15" x14ac:dyDescent="0.2">
      <c r="C77" s="119"/>
      <c r="D77" s="119"/>
      <c r="E77" s="23"/>
      <c r="F77" s="23"/>
      <c r="G77" s="23"/>
      <c r="H77" s="23"/>
      <c r="I77" s="23"/>
      <c r="J77" s="23"/>
      <c r="K77" s="23"/>
      <c r="L77" s="23"/>
      <c r="M77" s="23"/>
      <c r="N77" s="23"/>
      <c r="O77" s="23"/>
    </row>
    <row r="78" spans="3:15" x14ac:dyDescent="0.2">
      <c r="C78" s="119"/>
      <c r="D78" s="119"/>
      <c r="E78" s="23"/>
      <c r="F78" s="23"/>
      <c r="G78" s="23"/>
      <c r="H78" s="23"/>
      <c r="I78" s="23"/>
      <c r="J78" s="23"/>
      <c r="K78" s="23"/>
      <c r="L78" s="23"/>
      <c r="M78" s="23"/>
      <c r="N78" s="23"/>
      <c r="O78" s="23"/>
    </row>
    <row r="79" spans="3:15" x14ac:dyDescent="0.2">
      <c r="C79" s="119"/>
      <c r="D79" s="119"/>
      <c r="E79" s="23"/>
      <c r="F79" s="23"/>
      <c r="G79" s="23"/>
      <c r="H79" s="23"/>
      <c r="I79" s="23"/>
      <c r="J79" s="23"/>
      <c r="K79" s="23"/>
      <c r="L79" s="23"/>
      <c r="M79" s="23"/>
      <c r="N79" s="23"/>
      <c r="O79" s="23"/>
    </row>
    <row r="80" spans="3:15" x14ac:dyDescent="0.2">
      <c r="C80" s="119"/>
      <c r="D80" s="119"/>
      <c r="E80" s="23"/>
      <c r="F80" s="23"/>
      <c r="G80" s="23"/>
      <c r="H80" s="23"/>
      <c r="I80" s="23"/>
      <c r="J80" s="23"/>
      <c r="K80" s="23"/>
      <c r="L80" s="23"/>
      <c r="M80" s="23"/>
      <c r="N80" s="23"/>
      <c r="O80" s="23"/>
    </row>
    <row r="81" spans="3:15" x14ac:dyDescent="0.2">
      <c r="C81" s="119"/>
      <c r="D81" s="119"/>
      <c r="E81" s="23"/>
      <c r="F81" s="23"/>
      <c r="G81" s="23"/>
      <c r="H81" s="23"/>
      <c r="I81" s="23"/>
      <c r="J81" s="23"/>
      <c r="K81" s="23"/>
      <c r="L81" s="23"/>
      <c r="M81" s="23"/>
      <c r="N81" s="23"/>
      <c r="O81" s="23"/>
    </row>
    <row r="82" spans="3:15" x14ac:dyDescent="0.2">
      <c r="C82" s="119"/>
      <c r="D82" s="119"/>
      <c r="E82" s="23"/>
      <c r="F82" s="23"/>
      <c r="G82" s="23"/>
      <c r="H82" s="23"/>
      <c r="I82" s="23"/>
      <c r="J82" s="23"/>
      <c r="K82" s="23"/>
      <c r="L82" s="23"/>
      <c r="M82" s="23"/>
      <c r="N82" s="23"/>
      <c r="O82" s="23"/>
    </row>
  </sheetData>
  <sheetProtection password="CC5C" sheet="1" objects="1" scenarios="1" sort="0" autoFilter="0"/>
  <sortState ref="B11:O26">
    <sortCondition ref="M11"/>
    <sortCondition ref="N11"/>
    <sortCondition ref="L11"/>
  </sortState>
  <mergeCells count="7">
    <mergeCell ref="C4:F4"/>
    <mergeCell ref="G9:J9"/>
    <mergeCell ref="M9:N9"/>
    <mergeCell ref="U10:V10"/>
    <mergeCell ref="B10:C10"/>
    <mergeCell ref="G10:H10"/>
    <mergeCell ref="B9:E9"/>
  </mergeCells>
  <phoneticPr fontId="0" type="noConversion"/>
  <conditionalFormatting sqref="N11:N26">
    <cfRule type="expression" dxfId="24" priority="1" stopIfTrue="1">
      <formula>IF(AND($B11&gt;0,$G11&gt;0),AND($N11&lt;&gt;"A",$N11&lt;&gt;"B",$N11&lt;&gt;"C"),"")</formula>
    </cfRule>
  </conditionalFormatting>
  <dataValidations count="1">
    <dataValidation type="list" errorStyle="information" allowBlank="1" showInputMessage="1" showErrorMessage="1" error="Odaberi iz popisa ponuđenog !!!" promptTitle="Status" prompt="Odaberi:_x000a_DA_x000a_WC" sqref="M11:M26">
      <formula1>$Q$1:$Q$2</formula1>
    </dataValidation>
  </dataValidations>
  <printOptions horizontalCentered="1"/>
  <pageMargins left="0.19685039370078741" right="0.19685039370078741" top="0.19685039370078741" bottom="0.39370078740157483" header="0.2" footer="0.51181102362204722"/>
  <pageSetup paperSize="9" scale="71" orientation="landscape" horizontalDpi="1200" verticalDpi="1200" r:id="rId1"/>
  <headerFooter alignWithMargins="0"/>
  <drawing r:id="rId2"/>
  <legacyDrawing r:id="rId3"/>
  <controls>
    <mc:AlternateContent xmlns:mc="http://schemas.openxmlformats.org/markup-compatibility/2006">
      <mc:Choice Requires="x14">
        <control shapeId="18438" r:id="rId4" name="Label1">
          <controlPr defaultSize="0" print="0" autoLine="0" r:id="rId5">
            <anchor moveWithCells="1" sizeWithCells="1">
              <from>
                <xdr:col>13</xdr:col>
                <xdr:colOff>276225</xdr:colOff>
                <xdr:row>0</xdr:row>
                <xdr:rowOff>0</xdr:rowOff>
              </from>
              <to>
                <xdr:col>15</xdr:col>
                <xdr:colOff>0</xdr:colOff>
                <xdr:row>0</xdr:row>
                <xdr:rowOff>152400</xdr:rowOff>
              </to>
            </anchor>
          </controlPr>
        </control>
      </mc:Choice>
      <mc:Fallback>
        <control shapeId="18438" r:id="rId4" name="Label1"/>
      </mc:Fallback>
    </mc:AlternateContent>
    <mc:AlternateContent xmlns:mc="http://schemas.openxmlformats.org/markup-compatibility/2006">
      <mc:Choice Requires="x14">
        <control shapeId="18437" r:id="rId6" name="Si_Sort_RangLista">
          <controlPr locked="0" defaultSize="0" print="0" autoLine="0" r:id="rId7">
            <anchor moveWithCells="1" sizeWithCells="1">
              <from>
                <xdr:col>13</xdr:col>
                <xdr:colOff>276225</xdr:colOff>
                <xdr:row>1</xdr:row>
                <xdr:rowOff>47625</xdr:rowOff>
              </from>
              <to>
                <xdr:col>15</xdr:col>
                <xdr:colOff>0</xdr:colOff>
                <xdr:row>2</xdr:row>
                <xdr:rowOff>57150</xdr:rowOff>
              </to>
            </anchor>
          </controlPr>
        </control>
      </mc:Choice>
      <mc:Fallback>
        <control shapeId="18437" r:id="rId6" name="Si_Sort_RangLista"/>
      </mc:Fallback>
    </mc:AlternateContent>
    <mc:AlternateContent xmlns:mc="http://schemas.openxmlformats.org/markup-compatibility/2006">
      <mc:Choice Requires="x14">
        <control shapeId="18435" r:id="rId8" name="Si_Sort_Prezime">
          <controlPr locked="0" defaultSize="0" print="0" autoLine="0" r:id="rId9">
            <anchor moveWithCells="1" sizeWithCells="1">
              <from>
                <xdr:col>13</xdr:col>
                <xdr:colOff>276225</xdr:colOff>
                <xdr:row>0</xdr:row>
                <xdr:rowOff>142875</xdr:rowOff>
              </from>
              <to>
                <xdr:col>15</xdr:col>
                <xdr:colOff>0</xdr:colOff>
                <xdr:row>1</xdr:row>
                <xdr:rowOff>57150</xdr:rowOff>
              </to>
            </anchor>
          </controlPr>
        </control>
      </mc:Choice>
      <mc:Fallback>
        <control shapeId="18435" r:id="rId8" name="Si_Sort_Prezim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504" enableFormatConditionsCalculation="0">
    <tabColor indexed="48"/>
    <pageSetUpPr fitToPage="1"/>
  </sheetPr>
  <dimension ref="A1:U85"/>
  <sheetViews>
    <sheetView showGridLines="0" showRowColHeaders="0" showZeros="0" view="pageBreakPreview" zoomScaleNormal="100" zoomScaleSheetLayoutView="100" workbookViewId="0">
      <pane ySplit="6" topLeftCell="A7" activePane="bottomLeft" state="frozen"/>
      <selection pane="bottomLeft" activeCell="M34" sqref="M34"/>
    </sheetView>
  </sheetViews>
  <sheetFormatPr defaultRowHeight="12.75" x14ac:dyDescent="0.2"/>
  <cols>
    <col min="1" max="1" width="3.7109375" style="14" customWidth="1"/>
    <col min="2" max="4" width="4.7109375" style="14" customWidth="1"/>
    <col min="5" max="5" width="16.7109375" style="14" customWidth="1"/>
    <col min="6" max="6" width="4.7109375" style="14" customWidth="1"/>
    <col min="7" max="7" width="5.7109375" style="14" customWidth="1"/>
    <col min="8" max="8" width="1.7109375" style="14" customWidth="1"/>
    <col min="9" max="9" width="11.7109375" style="14" customWidth="1"/>
    <col min="10" max="11" width="4.7109375" style="14" customWidth="1"/>
    <col min="12" max="12" width="1.7109375" style="14" customWidth="1"/>
    <col min="13" max="13" width="5.7109375" style="14" customWidth="1"/>
    <col min="14" max="14" width="14.7109375" style="14" customWidth="1"/>
    <col min="15" max="15" width="1.7109375" style="14" customWidth="1"/>
    <col min="16" max="16" width="19.7109375" style="14" customWidth="1"/>
    <col min="17" max="17" width="1.7109375" style="14" customWidth="1"/>
    <col min="18" max="18" width="20.7109375" style="14" customWidth="1"/>
    <col min="19" max="20" width="9.140625" style="14"/>
    <col min="21" max="21" width="0" style="14" hidden="1" customWidth="1"/>
    <col min="22" max="16384" width="9.140625" style="14"/>
  </cols>
  <sheetData>
    <row r="1" spans="1:21" ht="23.25" customHeight="1" x14ac:dyDescent="0.3">
      <c r="A1" s="11" t="str">
        <f>Pocetna!$B$7</f>
        <v xml:space="preserve">OP SAMOBORA </v>
      </c>
      <c r="B1" s="12"/>
      <c r="C1" s="12"/>
      <c r="D1" s="12"/>
      <c r="E1" s="12"/>
      <c r="F1" s="13"/>
      <c r="G1" s="13"/>
      <c r="H1" s="13"/>
      <c r="I1" s="13"/>
      <c r="J1" s="13"/>
      <c r="K1" s="13"/>
      <c r="L1" s="13"/>
      <c r="M1" s="13"/>
      <c r="N1" s="122"/>
      <c r="O1" s="13"/>
      <c r="P1" s="134"/>
      <c r="Q1" s="13"/>
      <c r="R1" s="271"/>
      <c r="U1" s="136" t="str">
        <f>Izvjestaj!U1</f>
        <v>bez suca</v>
      </c>
    </row>
    <row r="2" spans="1:21" ht="13.5" customHeight="1" x14ac:dyDescent="0.2">
      <c r="A2" s="39" t="str">
        <f>Pocetna!$B$10</f>
        <v>dječaci do 12 god.</v>
      </c>
      <c r="B2" s="39"/>
      <c r="C2" s="39"/>
      <c r="D2" s="39"/>
      <c r="E2" s="39"/>
      <c r="F2" s="13"/>
      <c r="G2" s="13"/>
      <c r="H2" s="13"/>
      <c r="I2" s="15"/>
      <c r="J2" s="15"/>
      <c r="K2" s="15"/>
      <c r="L2" s="73" t="s">
        <v>131</v>
      </c>
      <c r="M2" s="15"/>
      <c r="N2" s="15"/>
      <c r="O2" s="13"/>
      <c r="P2" s="13"/>
      <c r="Q2" s="13"/>
      <c r="R2" s="271"/>
      <c r="U2" s="137">
        <f>Izvjestaj!U2</f>
        <v>0</v>
      </c>
    </row>
    <row r="3" spans="1:21" ht="13.5" customHeight="1" x14ac:dyDescent="0.2">
      <c r="A3" s="17"/>
      <c r="B3" s="17"/>
      <c r="C3" s="17"/>
      <c r="D3" s="17"/>
      <c r="E3" s="17"/>
      <c r="F3" s="17"/>
      <c r="G3" s="17"/>
      <c r="H3" s="17"/>
      <c r="I3" s="17"/>
      <c r="J3" s="17"/>
      <c r="K3" s="17"/>
      <c r="L3" s="15"/>
      <c r="M3" s="15"/>
      <c r="N3" s="15"/>
      <c r="O3" s="15"/>
      <c r="P3" s="15"/>
      <c r="Q3" s="15"/>
      <c r="R3" s="145"/>
      <c r="U3" s="137" t="str">
        <f>Izvjestaj!U3</f>
        <v>gs 1</v>
      </c>
    </row>
    <row r="4" spans="1:21" ht="13.5" customHeight="1" x14ac:dyDescent="0.2">
      <c r="A4" s="40" t="str">
        <f>Pocetna!$B$11</f>
        <v>Datum turnira</v>
      </c>
      <c r="B4" s="40"/>
      <c r="C4" s="40"/>
      <c r="D4" s="40"/>
      <c r="E4" s="40" t="str">
        <f>Pocetna!$D$11</f>
        <v>Organizator</v>
      </c>
      <c r="F4" s="40"/>
      <c r="G4" s="40"/>
      <c r="H4" s="40"/>
      <c r="I4" s="40" t="str">
        <f>Pocetna!$E$11</f>
        <v>Mjesto</v>
      </c>
      <c r="J4" s="40"/>
      <c r="K4" s="40"/>
      <c r="L4" s="40"/>
      <c r="M4" s="40" t="str">
        <f>Pocetna!$C$11</f>
        <v>ID turnira</v>
      </c>
      <c r="N4" s="40"/>
      <c r="O4" s="40"/>
      <c r="P4" s="40" t="str">
        <f>Pocetna!$B$15</f>
        <v>Rang turnira</v>
      </c>
      <c r="Q4" s="40"/>
      <c r="R4" s="41" t="str">
        <f>Pocetna!$F$11</f>
        <v>Vrhovni sudac</v>
      </c>
      <c r="U4" s="137" t="str">
        <f>Izvjestaj!U4</f>
        <v>gs 2</v>
      </c>
    </row>
    <row r="5" spans="1:21" ht="13.5" customHeight="1" thickBot="1" x14ac:dyDescent="0.25">
      <c r="A5" s="667" t="str">
        <f>Pocetna!$B$12</f>
        <v>(22.)24.-26.04.2016.</v>
      </c>
      <c r="B5" s="42"/>
      <c r="C5" s="42"/>
      <c r="D5" s="42"/>
      <c r="E5" s="42" t="str">
        <f>Pocetna!$D$12</f>
        <v>TK Samobor1890</v>
      </c>
      <c r="F5" s="42"/>
      <c r="G5" s="42"/>
      <c r="H5" s="42"/>
      <c r="I5" s="42" t="str">
        <f>Pocetna!$E$12</f>
        <v>Samobor</v>
      </c>
      <c r="J5" s="42"/>
      <c r="K5" s="42"/>
      <c r="L5" s="42"/>
      <c r="M5" s="42" t="str">
        <f>Pocetna!$C$12</f>
        <v>R12_20160422_SAM</v>
      </c>
      <c r="N5" s="38"/>
      <c r="O5" s="42"/>
      <c r="P5" s="42" t="str">
        <f>Pocetna!$B$16</f>
        <v>4. rang</v>
      </c>
      <c r="Q5" s="42"/>
      <c r="R5" s="43" t="str">
        <f>Pocetna!$F$12</f>
        <v>Mladen Šančić</v>
      </c>
      <c r="U5" s="137" t="str">
        <f>Izvjestaj!U5</f>
        <v>gs 3</v>
      </c>
    </row>
    <row r="6" spans="1:21" ht="13.5" customHeight="1" x14ac:dyDescent="0.2">
      <c r="A6" s="20"/>
      <c r="B6" s="20" t="s">
        <v>6</v>
      </c>
      <c r="C6" s="20" t="s">
        <v>7</v>
      </c>
      <c r="D6" s="21" t="s">
        <v>8</v>
      </c>
      <c r="E6" s="600" t="s">
        <v>9</v>
      </c>
      <c r="F6" s="600"/>
      <c r="G6" s="20" t="s">
        <v>1</v>
      </c>
      <c r="H6" s="20"/>
      <c r="I6" s="600" t="s">
        <v>12</v>
      </c>
      <c r="J6" s="600"/>
      <c r="K6" s="600"/>
      <c r="L6" s="20"/>
      <c r="M6" s="600" t="s">
        <v>13</v>
      </c>
      <c r="N6" s="600"/>
      <c r="O6" s="20"/>
      <c r="P6" s="20" t="s">
        <v>139</v>
      </c>
      <c r="Q6" s="20"/>
      <c r="R6" s="20"/>
      <c r="U6" s="137" t="str">
        <f>Izvjestaj!U6</f>
        <v>gs 4</v>
      </c>
    </row>
    <row r="7" spans="1:21" ht="12.75" customHeight="1" x14ac:dyDescent="0.2">
      <c r="A7" s="13"/>
      <c r="B7" s="13"/>
      <c r="C7" s="13"/>
      <c r="D7" s="22"/>
      <c r="E7" s="13"/>
      <c r="F7" s="13"/>
      <c r="G7" s="13"/>
      <c r="H7" s="13"/>
      <c r="I7" s="13"/>
      <c r="J7" s="13"/>
      <c r="K7" s="13"/>
      <c r="L7" s="13"/>
      <c r="M7" s="13"/>
      <c r="N7" s="13"/>
      <c r="O7" s="13"/>
      <c r="P7" s="13"/>
      <c r="Q7" s="13"/>
      <c r="R7" s="13"/>
      <c r="U7" s="137" t="str">
        <f>Izvjestaj!U7</f>
        <v>gs 5</v>
      </c>
    </row>
    <row r="8" spans="1:21" ht="12.75" customHeight="1" x14ac:dyDescent="0.2">
      <c r="A8" s="13"/>
      <c r="B8" s="13"/>
      <c r="C8" s="13"/>
      <c r="D8" s="207"/>
      <c r="E8" s="13"/>
      <c r="F8" s="13"/>
      <c r="G8" s="13"/>
      <c r="H8" s="13"/>
      <c r="I8" s="13"/>
      <c r="J8" s="13"/>
      <c r="K8" s="13"/>
      <c r="L8" s="13"/>
      <c r="M8" s="13"/>
      <c r="N8"/>
      <c r="O8"/>
      <c r="P8"/>
      <c r="Q8"/>
      <c r="R8"/>
      <c r="U8" s="137" t="str">
        <f>Izvjestaj!U8</f>
        <v>gs 6</v>
      </c>
    </row>
    <row r="9" spans="1:21" ht="12.75" customHeight="1" x14ac:dyDescent="0.2">
      <c r="A9" s="448" t="s">
        <v>298</v>
      </c>
      <c r="B9" s="190">
        <f>IF($D10="","",VLOOKUP($D10,'Do priprema'!$A$11:$O$26,6))</f>
        <v>13</v>
      </c>
      <c r="C9" s="190"/>
      <c r="D9" s="24"/>
      <c r="E9" s="656" t="str">
        <f>IF($D10="","",UPPER(VLOOKUP($D10,'Do priprema'!$A$11:$O$26,3))&amp;", "&amp;VLOOKUP($D10,'Do priprema'!$A$11:$O$26,4))</f>
        <v>MAJCAN, Lovro</v>
      </c>
      <c r="F9" s="655"/>
      <c r="G9" s="191" t="str">
        <f>IF($D10="","",UPPER(VLOOKUP($D10,'Do priprema'!$A$11:$O$26,5)))</f>
        <v>SAM</v>
      </c>
      <c r="H9" s="26"/>
      <c r="I9" s="26"/>
      <c r="J9" s="26"/>
      <c r="K9" s="26"/>
      <c r="L9" s="26"/>
      <c r="M9" s="26"/>
      <c r="N9"/>
      <c r="O9"/>
      <c r="P9"/>
      <c r="Q9"/>
      <c r="R9"/>
      <c r="U9" s="137" t="str">
        <f>Izvjestaj!U9</f>
        <v>gs 7</v>
      </c>
    </row>
    <row r="10" spans="1:21" ht="12.75" customHeight="1" x14ac:dyDescent="0.2">
      <c r="A10" s="126">
        <v>1</v>
      </c>
      <c r="B10" s="28">
        <f>IF($D10="","",VLOOKUP($D10,'Do priprema'!$A$11:$O$26,11))</f>
        <v>9</v>
      </c>
      <c r="C10" s="28" t="str">
        <f>IF($D10="","",UPPER(IF(OR(VLOOKUP($D10,'Do priprema'!$A$11:$O$26,13)=0,VLOOKUP($D10,'Do priprema'!$A$11:$O$26,13)="DA"),"",VLOOKUP($D10,'Do priprema'!$A$11:$O$26,13))))</f>
        <v/>
      </c>
      <c r="D10" s="160">
        <v>1</v>
      </c>
      <c r="E10" s="594" t="str">
        <f>IF($D10="","",UPPER(VLOOKUP($D10,'Do priprema'!$A$11:$O$26,8))&amp;", "&amp;VLOOKUP($D10,'Do priprema'!$A$11:$O$26,9))</f>
        <v>VUKADIN, Noa</v>
      </c>
      <c r="F10" s="595"/>
      <c r="G10" s="121" t="str">
        <f>IF($D10="","",UPPER(VLOOKUP($D10,'Do priprema'!$A$11:$O$26,10)))</f>
        <v>VUL</v>
      </c>
      <c r="H10" s="146"/>
      <c r="I10" s="29"/>
      <c r="J10" s="29"/>
      <c r="K10" s="29"/>
      <c r="L10" s="29"/>
      <c r="M10" s="26"/>
      <c r="N10"/>
      <c r="O10"/>
      <c r="P10"/>
      <c r="Q10"/>
      <c r="R10"/>
      <c r="U10" s="137" t="str">
        <f>Izvjestaj!U10</f>
        <v>gs 8</v>
      </c>
    </row>
    <row r="11" spans="1:21" ht="12.75" customHeight="1" x14ac:dyDescent="0.2">
      <c r="A11" s="30"/>
      <c r="D11" s="247"/>
      <c r="H11" s="158"/>
      <c r="I11" s="653" t="str">
        <f>IF(OR(H12="a",H12="as"),E9,IF(OR(H12="b",H12="bs"),E13,))</f>
        <v>MAJCAN, Lovro</v>
      </c>
      <c r="J11" s="654"/>
      <c r="K11" s="654"/>
      <c r="L11" s="654"/>
      <c r="N11"/>
      <c r="O11"/>
      <c r="P11"/>
      <c r="Q11"/>
      <c r="R11"/>
      <c r="U11" s="137" t="str">
        <f>Izvjestaj!U11</f>
        <v>gs 9</v>
      </c>
    </row>
    <row r="12" spans="1:21" ht="12.75" customHeight="1" x14ac:dyDescent="0.2">
      <c r="D12" s="239"/>
      <c r="G12" s="233" t="s">
        <v>77</v>
      </c>
      <c r="H12" s="151" t="s">
        <v>556</v>
      </c>
      <c r="I12" s="598" t="str">
        <f>IF(OR(H12="a",H12="as"),E10,IF(OR(H12="b",H12="bs"),E14,))</f>
        <v>VUKADIN, Noa</v>
      </c>
      <c r="J12" s="598"/>
      <c r="K12" s="598"/>
      <c r="L12" s="598"/>
      <c r="N12"/>
      <c r="O12"/>
      <c r="P12"/>
      <c r="Q12"/>
      <c r="R12"/>
      <c r="U12" s="137" t="str">
        <f>Izvjestaj!U12</f>
        <v>gs 10</v>
      </c>
    </row>
    <row r="13" spans="1:21" ht="12.75" customHeight="1" x14ac:dyDescent="0.2">
      <c r="A13" s="448" t="s">
        <v>299</v>
      </c>
      <c r="B13" s="190">
        <f>IF($D14="","",VLOOKUP($D14,'Do priprema'!$A$11:$O$26,6))</f>
        <v>66</v>
      </c>
      <c r="C13" s="190"/>
      <c r="D13" s="24"/>
      <c r="E13" s="656" t="str">
        <f>IF($D14="","",UPPER(VLOOKUP($D14,'Do priprema'!$A$11:$O$26,3))&amp;", "&amp;VLOOKUP($D14,'Do priprema'!$A$11:$O$26,4))</f>
        <v>KRŽIĆ, Tin</v>
      </c>
      <c r="F13" s="655"/>
      <c r="G13" s="191" t="str">
        <f>IF($D14="","",UPPER(VLOOKUP($D14,'Do priprema'!$A$11:$O$26,5)))</f>
        <v>TER</v>
      </c>
      <c r="H13" s="33"/>
      <c r="I13" s="155" t="s">
        <v>599</v>
      </c>
      <c r="J13" s="173"/>
      <c r="K13" s="173"/>
      <c r="L13" s="158"/>
      <c r="N13"/>
      <c r="O13"/>
      <c r="P13"/>
      <c r="Q13"/>
      <c r="R13"/>
      <c r="U13" s="137" t="str">
        <f>Izvjestaj!U13</f>
        <v>gs 11</v>
      </c>
    </row>
    <row r="14" spans="1:21" ht="12.75" customHeight="1" x14ac:dyDescent="0.2">
      <c r="A14" s="27">
        <v>2</v>
      </c>
      <c r="B14" s="28">
        <f>IF($D14="","",VLOOKUP($D14,'Do priprema'!$A$11:$O$26,11))</f>
        <v>36</v>
      </c>
      <c r="C14" s="28" t="str">
        <f>IF($D14="","",UPPER(IF(OR(VLOOKUP($D14,'Do priprema'!$A$11:$O$26,13)=0,VLOOKUP($D14,'Do priprema'!$A$11:$O$26,13)="DA"),"",VLOOKUP($D14,'Do priprema'!$A$11:$O$26,13))))</f>
        <v/>
      </c>
      <c r="D14" s="160">
        <v>5</v>
      </c>
      <c r="E14" s="594" t="str">
        <f>IF($D14="","",UPPER(VLOOKUP($D14,'Do priprema'!$A$11:$O$26,8))&amp;", "&amp;VLOOKUP($D14,'Do priprema'!$A$11:$O$26,9))</f>
        <v>NIKOLIĆ, Erik</v>
      </c>
      <c r="F14" s="595"/>
      <c r="G14" s="121" t="str">
        <f>IF($D14="","",UPPER(VLOOKUP($D14,'Do priprema'!$A$11:$O$26,10)))</f>
        <v>ZGI</v>
      </c>
      <c r="H14" s="35"/>
      <c r="I14" s="149"/>
      <c r="J14" s="149"/>
      <c r="K14" s="149"/>
      <c r="L14" s="148"/>
      <c r="U14" s="137" t="str">
        <f>Izvjestaj!U14</f>
        <v>gs 12</v>
      </c>
    </row>
    <row r="15" spans="1:21" ht="12.75" customHeight="1" x14ac:dyDescent="0.2">
      <c r="D15" s="247"/>
      <c r="I15" s="149"/>
      <c r="J15" s="149"/>
      <c r="K15" s="149"/>
      <c r="L15" s="148"/>
      <c r="M15" s="654" t="str">
        <f>IF(OR(L16="a",L16="as"),I11,IF(OR(L16="b",L16="bs"),I19,))</f>
        <v>MAJCAN, Lovro</v>
      </c>
      <c r="N15" s="655"/>
      <c r="O15" s="655"/>
      <c r="U15" s="137" t="str">
        <f>Izvjestaj!U15</f>
        <v>gs 13</v>
      </c>
    </row>
    <row r="16" spans="1:21" ht="12.75" customHeight="1" x14ac:dyDescent="0.2">
      <c r="D16" s="239"/>
      <c r="I16" s="149"/>
      <c r="J16" s="149"/>
      <c r="K16" s="233" t="s">
        <v>77</v>
      </c>
      <c r="L16" s="151" t="s">
        <v>556</v>
      </c>
      <c r="M16" s="598" t="str">
        <f>IF(OR(L16="a",L16="as"),I12,IF(OR(L16="b",L16="bs"),I20,))</f>
        <v>VUKADIN, Noa</v>
      </c>
      <c r="N16" s="595"/>
      <c r="O16" s="595"/>
      <c r="U16" s="137" t="str">
        <f>Izvjestaj!U16</f>
        <v>gs 14</v>
      </c>
    </row>
    <row r="17" spans="1:21" ht="12.75" customHeight="1" x14ac:dyDescent="0.2">
      <c r="A17" s="448" t="s">
        <v>300</v>
      </c>
      <c r="B17" s="190">
        <f>IF($D18="","",VLOOKUP($D18,'Do priprema'!$A$11:$O$26,6))</f>
        <v>0</v>
      </c>
      <c r="C17" s="190"/>
      <c r="D17" s="24"/>
      <c r="E17" s="656" t="str">
        <f>IF($D18="","",UPPER(VLOOKUP($D18,'Do priprema'!$A$11:$O$26,3))&amp;", "&amp;VLOOKUP($D18,'Do priprema'!$A$11:$O$26,4))</f>
        <v>DRAŽIĆ, Ivor</v>
      </c>
      <c r="F17" s="655"/>
      <c r="G17" s="191" t="str">
        <f>IF($D18="","",UPPER(VLOOKUP($D18,'Do priprema'!$A$11:$O$26,5)))</f>
        <v>SAM</v>
      </c>
      <c r="H17" s="26"/>
      <c r="I17" s="25"/>
      <c r="J17" s="25"/>
      <c r="K17" s="25"/>
      <c r="L17" s="33"/>
      <c r="M17" s="155" t="s">
        <v>515</v>
      </c>
      <c r="N17" s="173"/>
      <c r="O17" s="158"/>
      <c r="U17" s="138" t="str">
        <f>Izvjestaj!U17</f>
        <v>gs 15</v>
      </c>
    </row>
    <row r="18" spans="1:21" ht="12.75" customHeight="1" x14ac:dyDescent="0.2">
      <c r="A18" s="27">
        <v>3</v>
      </c>
      <c r="B18" s="28">
        <f>IF($D18="","",VLOOKUP($D18,'Do priprema'!$A$11:$O$26,11))</f>
        <v>0</v>
      </c>
      <c r="C18" s="28" t="str">
        <f>IF($D18="","",UPPER(IF(OR(VLOOKUP($D18,'Do priprema'!$A$11:$O$26,13)=0,VLOOKUP($D18,'Do priprema'!$A$11:$O$26,13)="DA"),"",VLOOKUP($D18,'Do priprema'!$A$11:$O$26,13))))</f>
        <v>WC</v>
      </c>
      <c r="D18" s="160">
        <v>8</v>
      </c>
      <c r="E18" s="594" t="str">
        <f>IF($D18="","",UPPER(VLOOKUP($D18,'Do priprema'!$A$11:$O$26,8))&amp;", "&amp;VLOOKUP($D18,'Do priprema'!$A$11:$O$26,9))</f>
        <v>SEVEROVIĆ, Patrik</v>
      </c>
      <c r="F18" s="595"/>
      <c r="G18" s="121" t="str">
        <f>IF($D18="","",UPPER(VLOOKUP($D18,'Do priprema'!$A$11:$O$26,10)))</f>
        <v>SAM</v>
      </c>
      <c r="H18" s="146"/>
      <c r="I18" s="29"/>
      <c r="J18" s="29"/>
      <c r="K18" s="29"/>
      <c r="L18" s="231"/>
      <c r="M18" s="149"/>
      <c r="N18" s="149"/>
      <c r="O18" s="148"/>
    </row>
    <row r="19" spans="1:21" ht="12.75" customHeight="1" x14ac:dyDescent="0.2">
      <c r="A19" s="30"/>
      <c r="D19" s="247"/>
      <c r="H19" s="158"/>
      <c r="I19" s="653" t="str">
        <f>IF(OR(H20="a",H20="as"),E17,IF(OR(H20="b",H20="bs"),E21,))</f>
        <v>BOBAN, Viktor</v>
      </c>
      <c r="J19" s="654"/>
      <c r="K19" s="654"/>
      <c r="L19" s="659"/>
      <c r="M19" s="149"/>
      <c r="N19" s="149"/>
      <c r="O19" s="148"/>
    </row>
    <row r="20" spans="1:21" ht="12.75" customHeight="1" x14ac:dyDescent="0.2">
      <c r="D20" s="239"/>
      <c r="G20" s="233" t="s">
        <v>77</v>
      </c>
      <c r="H20" s="151" t="s">
        <v>315</v>
      </c>
      <c r="I20" s="598" t="str">
        <f>IF(OR(H20="a",H20="as"),E18,IF(OR(H20="b",H20="bs"),E22,))</f>
        <v>VOLJAVEC, Antonio</v>
      </c>
      <c r="J20" s="598"/>
      <c r="K20" s="598"/>
      <c r="L20" s="599"/>
      <c r="M20" s="149"/>
      <c r="N20" s="149"/>
      <c r="O20" s="148"/>
    </row>
    <row r="21" spans="1:21" ht="12.75" customHeight="1" x14ac:dyDescent="0.2">
      <c r="A21" s="448" t="s">
        <v>301</v>
      </c>
      <c r="B21" s="190">
        <f>IF($D22="","",VLOOKUP($D22,'Do priprema'!$A$11:$O$26,6))</f>
        <v>18</v>
      </c>
      <c r="C21" s="190"/>
      <c r="D21" s="24"/>
      <c r="E21" s="656" t="str">
        <f>IF($D22="","",UPPER(VLOOKUP($D22,'Do priprema'!$A$11:$O$26,3))&amp;", "&amp;VLOOKUP($D22,'Do priprema'!$A$11:$O$26,4))</f>
        <v>BOBAN, Viktor</v>
      </c>
      <c r="F21" s="655"/>
      <c r="G21" s="191" t="str">
        <f>IF($D22="","",UPPER(VLOOKUP($D22,'Do priprema'!$A$11:$O$26,5)))</f>
        <v>MDV</v>
      </c>
      <c r="H21" s="33"/>
      <c r="I21" s="152" t="s">
        <v>489</v>
      </c>
      <c r="M21" s="149"/>
      <c r="N21" s="149"/>
      <c r="O21" s="148"/>
    </row>
    <row r="22" spans="1:21" ht="12.75" customHeight="1" x14ac:dyDescent="0.2">
      <c r="A22" s="27">
        <v>4</v>
      </c>
      <c r="B22" s="28">
        <f>IF($D22="","",VLOOKUP($D22,'Do priprema'!$A$11:$O$26,11))</f>
        <v>49</v>
      </c>
      <c r="C22" s="28" t="str">
        <f>IF($D22="","",UPPER(IF(OR(VLOOKUP($D22,'Do priprema'!$A$11:$O$26,13)=0,VLOOKUP($D22,'Do priprema'!$A$11:$O$26,13)="DA"),"",VLOOKUP($D22,'Do priprema'!$A$11:$O$26,13))))</f>
        <v/>
      </c>
      <c r="D22" s="160">
        <v>3</v>
      </c>
      <c r="E22" s="594" t="str">
        <f>IF($D22="","",UPPER(VLOOKUP($D22,'Do priprema'!$A$11:$O$26,8))&amp;", "&amp;VLOOKUP($D22,'Do priprema'!$A$11:$O$26,9))</f>
        <v>VOLJAVEC, Antonio</v>
      </c>
      <c r="F22" s="595"/>
      <c r="G22" s="121" t="str">
        <f>IF($D22="","",UPPER(VLOOKUP($D22,'Do priprema'!$A$11:$O$26,10)))</f>
        <v>PON</v>
      </c>
      <c r="H22" s="35"/>
      <c r="M22" s="149"/>
      <c r="N22" s="149"/>
      <c r="O22" s="148"/>
      <c r="P22" s="653" t="str">
        <f>IF(OR(O24="a",O24="as"),M15,IF(OR(O24="b",O24="bs"),M31,))</f>
        <v>MAJCAN, Lovro</v>
      </c>
      <c r="Q22" s="654"/>
      <c r="R22" s="193"/>
    </row>
    <row r="23" spans="1:21" ht="12.75" customHeight="1" x14ac:dyDescent="0.2">
      <c r="D23" s="247"/>
      <c r="M23" s="149"/>
      <c r="N23" s="124" t="s">
        <v>139</v>
      </c>
      <c r="O23" s="248"/>
      <c r="P23" s="596" t="str">
        <f>IF(OR(O24="a",O24="as"),M16,IF(OR(O24="b",O24="bs"),M32,))</f>
        <v>VUKADIN, Noa</v>
      </c>
      <c r="Q23" s="598"/>
      <c r="R23" s="193"/>
    </row>
    <row r="24" spans="1:21" ht="12.75" customHeight="1" x14ac:dyDescent="0.2">
      <c r="D24" s="239"/>
      <c r="M24" s="149"/>
      <c r="N24" s="236" t="s">
        <v>77</v>
      </c>
      <c r="O24" s="151" t="s">
        <v>556</v>
      </c>
      <c r="P24" s="152" t="s">
        <v>557</v>
      </c>
      <c r="Q24"/>
      <c r="R24"/>
    </row>
    <row r="25" spans="1:21" ht="12.75" customHeight="1" x14ac:dyDescent="0.2">
      <c r="A25" s="448" t="s">
        <v>302</v>
      </c>
      <c r="B25" s="190">
        <f>IF($D26="","",VLOOKUP($D26,'Do priprema'!$A$11:$O$26,6))</f>
        <v>46</v>
      </c>
      <c r="C25" s="190"/>
      <c r="D25" s="24"/>
      <c r="E25" s="656" t="str">
        <f>IF($D26="","",UPPER(VLOOKUP($D26,'Do priprema'!$A$11:$O$26,3))&amp;", "&amp;VLOOKUP($D26,'Do priprema'!$A$11:$O$26,4))</f>
        <v>BOBOK, Josip</v>
      </c>
      <c r="F25" s="655"/>
      <c r="G25" s="191" t="str">
        <f>IF($D26="","",UPPER(VLOOKUP($D26,'Do priprema'!$A$11:$O$26,5)))</f>
        <v>IMZ</v>
      </c>
      <c r="H25" s="26"/>
      <c r="I25" s="26"/>
      <c r="J25" s="26"/>
      <c r="K25" s="26"/>
      <c r="L25" s="26"/>
      <c r="M25" s="25"/>
      <c r="N25" s="25"/>
      <c r="O25" s="33"/>
      <c r="P25" s="149"/>
      <c r="Q25"/>
      <c r="R25"/>
    </row>
    <row r="26" spans="1:21" ht="12.75" customHeight="1" x14ac:dyDescent="0.2">
      <c r="A26" s="27">
        <v>5</v>
      </c>
      <c r="B26" s="28">
        <f>IF($D26="","",VLOOKUP($D26,'Do priprema'!$A$11:$O$26,11))</f>
        <v>44</v>
      </c>
      <c r="C26" s="28" t="str">
        <f>IF($D26="","",UPPER(IF(OR(VLOOKUP($D26,'Do priprema'!$A$11:$O$26,13)=0,VLOOKUP($D26,'Do priprema'!$A$11:$O$26,13)="DA"),"",VLOOKUP($D26,'Do priprema'!$A$11:$O$26,13))))</f>
        <v/>
      </c>
      <c r="D26" s="160">
        <v>4</v>
      </c>
      <c r="E26" s="594" t="str">
        <f>IF($D26="","",UPPER(VLOOKUP($D26,'Do priprema'!$A$11:$O$26,8))&amp;", "&amp;VLOOKUP($D26,'Do priprema'!$A$11:$O$26,9))</f>
        <v>NOTHIG, Karlo</v>
      </c>
      <c r="F26" s="595"/>
      <c r="G26" s="121" t="str">
        <f>IF($D26="","",UPPER(VLOOKUP($D26,'Do priprema'!$A$11:$O$26,10)))</f>
        <v>ITE</v>
      </c>
      <c r="H26" s="146"/>
      <c r="I26" s="29"/>
      <c r="J26" s="29"/>
      <c r="K26" s="29"/>
      <c r="L26" s="29"/>
      <c r="M26" s="25"/>
      <c r="N26" s="25"/>
      <c r="O26" s="33"/>
      <c r="P26" s="149"/>
      <c r="Q26"/>
      <c r="R26"/>
    </row>
    <row r="27" spans="1:21" ht="12.75" customHeight="1" x14ac:dyDescent="0.2">
      <c r="A27" s="30"/>
      <c r="D27" s="247"/>
      <c r="H27" s="158"/>
      <c r="I27" s="653" t="str">
        <f>IF(OR(H28="a",H28="as"),E25,IF(OR(H28="b",H28="bs"),E29,))</f>
        <v>BOBOK, Josip</v>
      </c>
      <c r="J27" s="654"/>
      <c r="K27" s="654"/>
      <c r="L27" s="654"/>
      <c r="M27" s="149"/>
      <c r="N27" s="149"/>
      <c r="O27" s="148"/>
      <c r="P27" s="149"/>
      <c r="Q27"/>
      <c r="R27"/>
    </row>
    <row r="28" spans="1:21" ht="12.75" customHeight="1" x14ac:dyDescent="0.2">
      <c r="D28" s="239"/>
      <c r="G28" s="233" t="s">
        <v>77</v>
      </c>
      <c r="H28" s="151" t="s">
        <v>321</v>
      </c>
      <c r="I28" s="598" t="str">
        <f>IF(OR(H28="a",H28="as"),E26,IF(OR(H28="b",H28="bs"),E30,))</f>
        <v>NOTHIG, Karlo</v>
      </c>
      <c r="J28" s="598"/>
      <c r="K28" s="598"/>
      <c r="L28" s="598"/>
      <c r="M28" s="149"/>
      <c r="N28" s="149"/>
      <c r="O28" s="148"/>
      <c r="P28" s="149"/>
      <c r="Q28"/>
      <c r="R28"/>
    </row>
    <row r="29" spans="1:21" ht="12.75" customHeight="1" x14ac:dyDescent="0.2">
      <c r="A29" s="448" t="s">
        <v>303</v>
      </c>
      <c r="B29" s="190">
        <f>IF($D30="","",VLOOKUP($D30,'Do priprema'!$A$11:$O$26,6))</f>
        <v>63</v>
      </c>
      <c r="C29" s="190"/>
      <c r="D29" s="24"/>
      <c r="E29" s="656" t="str">
        <f>IF($D30="","",UPPER(VLOOKUP($D30,'Do priprema'!$A$11:$O$26,3))&amp;", "&amp;VLOOKUP($D30,'Do priprema'!$A$11:$O$26,4))</f>
        <v>MARIĆ, Vid</v>
      </c>
      <c r="F29" s="655"/>
      <c r="G29" s="191" t="str">
        <f>IF($D30="","",UPPER(VLOOKUP($D30,'Do priprema'!$A$11:$O$26,5)))</f>
        <v>TSP</v>
      </c>
      <c r="H29" s="33"/>
      <c r="I29" s="155" t="s">
        <v>611</v>
      </c>
      <c r="J29" s="173"/>
      <c r="K29" s="173"/>
      <c r="L29" s="158"/>
      <c r="M29" s="149"/>
      <c r="N29" s="149"/>
      <c r="O29" s="148"/>
      <c r="P29" s="149"/>
      <c r="Q29"/>
      <c r="R29"/>
    </row>
    <row r="30" spans="1:21" ht="12.75" customHeight="1" x14ac:dyDescent="0.2">
      <c r="A30" s="27">
        <v>6</v>
      </c>
      <c r="B30" s="28">
        <f>IF($D30="","",VLOOKUP($D30,'Do priprema'!$A$11:$O$26,11))</f>
        <v>51</v>
      </c>
      <c r="C30" s="28" t="str">
        <f>IF($D30="","",UPPER(IF(OR(VLOOKUP($D30,'Do priprema'!$A$11:$O$26,13)=0,VLOOKUP($D30,'Do priprema'!$A$11:$O$26,13)="DA"),"",VLOOKUP($D30,'Do priprema'!$A$11:$O$26,13))))</f>
        <v/>
      </c>
      <c r="D30" s="160">
        <v>6</v>
      </c>
      <c r="E30" s="594" t="str">
        <f>IF($D30="","",UPPER(VLOOKUP($D30,'Do priprema'!$A$11:$O$26,8))&amp;", "&amp;VLOOKUP($D30,'Do priprema'!$A$11:$O$26,9))</f>
        <v>ŠTABEK, Domagoj</v>
      </c>
      <c r="F30" s="595"/>
      <c r="G30" s="121" t="str">
        <f>IF($D30="","",UPPER(VLOOKUP($D30,'Do priprema'!$A$11:$O$26,10)))</f>
        <v>TER</v>
      </c>
      <c r="H30" s="35"/>
      <c r="I30" s="149"/>
      <c r="J30" s="149"/>
      <c r="K30" s="149"/>
      <c r="L30" s="148"/>
      <c r="M30" s="149"/>
      <c r="N30" s="149"/>
      <c r="O30" s="148"/>
      <c r="P30" s="149"/>
      <c r="Q30"/>
      <c r="R30"/>
    </row>
    <row r="31" spans="1:21" ht="12.75" customHeight="1" x14ac:dyDescent="0.2">
      <c r="D31" s="247"/>
      <c r="I31" s="149"/>
      <c r="J31" s="149"/>
      <c r="K31" s="149"/>
      <c r="L31" s="148"/>
      <c r="M31" s="654" t="str">
        <f>IF(OR(L32="a",L32="as"),I27,IF(OR(L32="b",L32="bs"),I35,))</f>
        <v>DOŠEN, Luka</v>
      </c>
      <c r="N31" s="655"/>
      <c r="O31" s="657"/>
      <c r="P31" s="149"/>
      <c r="Q31"/>
      <c r="R31"/>
    </row>
    <row r="32" spans="1:21" ht="12.75" customHeight="1" x14ac:dyDescent="0.2">
      <c r="D32" s="239"/>
      <c r="I32" s="149"/>
      <c r="J32" s="149"/>
      <c r="K32" s="233" t="s">
        <v>77</v>
      </c>
      <c r="L32" s="151" t="s">
        <v>554</v>
      </c>
      <c r="M32" s="598" t="str">
        <f>IF(OR(L32="a",L32="as"),I28,IF(OR(L32="b",L32="bs"),I36,))</f>
        <v>ŠKREB, Daniel</v>
      </c>
      <c r="N32" s="595"/>
      <c r="O32" s="658"/>
      <c r="P32" s="149"/>
      <c r="Q32"/>
      <c r="R32"/>
    </row>
    <row r="33" spans="1:19" ht="12.75" customHeight="1" x14ac:dyDescent="0.2">
      <c r="A33" s="448" t="s">
        <v>304</v>
      </c>
      <c r="B33" s="190">
        <f>IF($D34="","",VLOOKUP($D34,'Do priprema'!$A$11:$O$26,6))</f>
        <v>85</v>
      </c>
      <c r="C33" s="190"/>
      <c r="D33" s="24"/>
      <c r="E33" s="656" t="str">
        <f>IF($D34="","",UPPER(VLOOKUP($D34,'Do priprema'!$A$11:$O$26,3))&amp;", "&amp;VLOOKUP($D34,'Do priprema'!$A$11:$O$26,4))</f>
        <v>BRADVIĆ, Marko</v>
      </c>
      <c r="F33" s="655"/>
      <c r="G33" s="191" t="str">
        <f>IF($D34="","",UPPER(VLOOKUP($D34,'Do priprema'!$A$11:$O$26,5)))</f>
        <v>GMJ</v>
      </c>
      <c r="H33" s="26"/>
      <c r="I33" s="25"/>
      <c r="J33" s="25"/>
      <c r="K33" s="25"/>
      <c r="L33" s="33"/>
      <c r="M33" s="152" t="s">
        <v>612</v>
      </c>
      <c r="P33" s="238"/>
      <c r="Q33"/>
      <c r="R33"/>
    </row>
    <row r="34" spans="1:19" ht="12.75" customHeight="1" x14ac:dyDescent="0.2">
      <c r="A34" s="27">
        <v>7</v>
      </c>
      <c r="B34" s="28">
        <f>IF($D34="","",VLOOKUP($D34,'Do priprema'!$A$11:$O$26,11))</f>
        <v>42</v>
      </c>
      <c r="C34" s="28" t="str">
        <f>IF($D34="","",UPPER(IF(OR(VLOOKUP($D34,'Do priprema'!$A$11:$O$26,13)=0,VLOOKUP($D34,'Do priprema'!$A$11:$O$26,13)="DA"),"",VLOOKUP($D34,'Do priprema'!$A$11:$O$26,13))))</f>
        <v/>
      </c>
      <c r="D34" s="160">
        <v>7</v>
      </c>
      <c r="E34" s="594" t="str">
        <f>IF($D34="","",UPPER(VLOOKUP($D34,'Do priprema'!$A$11:$O$26,8))&amp;", "&amp;VLOOKUP($D34,'Do priprema'!$A$11:$O$26,9))</f>
        <v>SALOPEK, Dorian</v>
      </c>
      <c r="F34" s="595"/>
      <c r="G34" s="121" t="str">
        <f>IF($D34="","",UPPER(VLOOKUP($D34,'Do priprema'!$A$11:$O$26,10)))</f>
        <v>OG</v>
      </c>
      <c r="H34" s="146"/>
      <c r="I34" s="29"/>
      <c r="J34" s="29"/>
      <c r="K34" s="29"/>
      <c r="L34" s="231"/>
      <c r="P34"/>
      <c r="Q34"/>
      <c r="R34"/>
    </row>
    <row r="35" spans="1:19" ht="12.75" customHeight="1" x14ac:dyDescent="0.2">
      <c r="A35" s="30"/>
      <c r="D35" s="247"/>
      <c r="H35" s="158"/>
      <c r="I35" s="653" t="str">
        <f>IF(OR(H36="a",H36="as"),E33,IF(OR(H36="b",H36="bs"),E37,))</f>
        <v>DOŠEN, Luka</v>
      </c>
      <c r="J35" s="654"/>
      <c r="K35" s="654"/>
      <c r="L35" s="659"/>
      <c r="P35"/>
      <c r="Q35"/>
      <c r="R35"/>
    </row>
    <row r="36" spans="1:19" ht="12.75" customHeight="1" x14ac:dyDescent="0.2">
      <c r="D36" s="239"/>
      <c r="G36" s="233" t="s">
        <v>77</v>
      </c>
      <c r="H36" s="151" t="s">
        <v>554</v>
      </c>
      <c r="I36" s="598" t="str">
        <f>IF(OR(H36="a",H36="as"),E34,IF(OR(H36="b",H36="bs"),E38,))</f>
        <v>ŠKREB, Daniel</v>
      </c>
      <c r="J36" s="598"/>
      <c r="K36" s="598"/>
      <c r="L36" s="599"/>
      <c r="P36"/>
      <c r="Q36"/>
      <c r="R36"/>
    </row>
    <row r="37" spans="1:19" ht="12.75" customHeight="1" x14ac:dyDescent="0.2">
      <c r="A37" s="448" t="s">
        <v>305</v>
      </c>
      <c r="B37" s="190">
        <f>IF($D38="","",VLOOKUP($D38,'Do priprema'!$A$11:$O$26,6))</f>
        <v>17</v>
      </c>
      <c r="C37" s="190"/>
      <c r="D37" s="24"/>
      <c r="E37" s="656" t="str">
        <f>IF($D38="","",UPPER(VLOOKUP($D38,'Do priprema'!$A$11:$O$26,3))&amp;", "&amp;VLOOKUP($D38,'Do priprema'!$A$11:$O$26,4))</f>
        <v>DOŠEN, Luka</v>
      </c>
      <c r="F37" s="655"/>
      <c r="G37" s="191" t="str">
        <f>IF($D38="","",UPPER(VLOOKUP($D38,'Do priprema'!$A$11:$O$26,5)))</f>
        <v>VUL</v>
      </c>
      <c r="H37" s="33"/>
      <c r="I37" s="152" t="s">
        <v>489</v>
      </c>
      <c r="P37"/>
      <c r="Q37"/>
      <c r="R37"/>
    </row>
    <row r="38" spans="1:19" ht="12.75" customHeight="1" x14ac:dyDescent="0.2">
      <c r="A38" s="126">
        <v>8</v>
      </c>
      <c r="B38" s="28">
        <f>IF($D38="","",VLOOKUP($D38,'Do priprema'!$A$11:$O$26,11))</f>
        <v>30</v>
      </c>
      <c r="C38" s="28" t="str">
        <f>IF($D38="","",UPPER(IF(OR(VLOOKUP($D38,'Do priprema'!$A$11:$O$26,13)=0,VLOOKUP($D38,'Do priprema'!$A$11:$O$26,13)="DA"),"",VLOOKUP($D38,'Do priprema'!$A$11:$O$26,13))))</f>
        <v/>
      </c>
      <c r="D38" s="160">
        <v>2</v>
      </c>
      <c r="E38" s="594" t="str">
        <f>IF($D38="","",UPPER(VLOOKUP($D38,'Do priprema'!$A$11:$O$26,8))&amp;", "&amp;VLOOKUP($D38,'Do priprema'!$A$11:$O$26,9))</f>
        <v>ŠKREB, Daniel</v>
      </c>
      <c r="F38" s="595"/>
      <c r="G38" s="121" t="str">
        <f>IF($D38="","",UPPER(VLOOKUP($D38,'Do priprema'!$A$11:$O$26,10)))</f>
        <v>VUL</v>
      </c>
      <c r="H38" s="35"/>
      <c r="P38"/>
      <c r="Q38"/>
      <c r="R38"/>
      <c r="S38" s="157"/>
    </row>
    <row r="39" spans="1:19" ht="12.75" customHeight="1" x14ac:dyDescent="0.2">
      <c r="A39" s="30"/>
      <c r="D39" s="173"/>
      <c r="P39"/>
      <c r="Q39"/>
      <c r="R39"/>
      <c r="S39" s="157"/>
    </row>
    <row r="40" spans="1:19" ht="12.75" customHeight="1" x14ac:dyDescent="0.2">
      <c r="A40"/>
      <c r="B40"/>
      <c r="C40"/>
      <c r="D40"/>
      <c r="E40"/>
      <c r="F40"/>
      <c r="G40"/>
      <c r="H40"/>
      <c r="I40"/>
      <c r="J40"/>
      <c r="K40"/>
      <c r="L40"/>
      <c r="M40"/>
      <c r="N40"/>
      <c r="O40"/>
      <c r="P40"/>
      <c r="Q40"/>
      <c r="R40"/>
    </row>
    <row r="41" spans="1:19" ht="12.75" customHeight="1" x14ac:dyDescent="0.2">
      <c r="A41"/>
      <c r="B41"/>
      <c r="C41"/>
      <c r="D41"/>
      <c r="E41"/>
      <c r="F41"/>
      <c r="G41"/>
      <c r="H41"/>
      <c r="I41"/>
      <c r="J41"/>
      <c r="K41"/>
      <c r="L41"/>
      <c r="M41"/>
      <c r="N41"/>
      <c r="O41"/>
      <c r="P41"/>
      <c r="Q41"/>
      <c r="R41"/>
    </row>
    <row r="42" spans="1:19" ht="12.75" customHeight="1" x14ac:dyDescent="0.2">
      <c r="A42"/>
      <c r="B42"/>
      <c r="C42"/>
      <c r="D42"/>
      <c r="E42"/>
      <c r="F42"/>
      <c r="G42"/>
      <c r="H42"/>
      <c r="I42"/>
      <c r="J42"/>
      <c r="K42"/>
      <c r="L42"/>
      <c r="M42"/>
      <c r="N42"/>
      <c r="O42"/>
      <c r="P42"/>
      <c r="Q42"/>
      <c r="R42"/>
    </row>
    <row r="43" spans="1:19" ht="12.75" customHeight="1" x14ac:dyDescent="0.2">
      <c r="A43"/>
      <c r="B43"/>
      <c r="C43"/>
      <c r="D43"/>
      <c r="E43"/>
      <c r="F43"/>
      <c r="G43"/>
      <c r="H43"/>
      <c r="I43"/>
      <c r="J43"/>
      <c r="K43"/>
      <c r="L43"/>
      <c r="M43"/>
      <c r="N43"/>
      <c r="O43"/>
      <c r="P43"/>
      <c r="Q43"/>
      <c r="R43"/>
    </row>
    <row r="44" spans="1:19" ht="12.75" customHeight="1" x14ac:dyDescent="0.2">
      <c r="A44"/>
      <c r="B44"/>
      <c r="C44"/>
      <c r="D44"/>
      <c r="E44"/>
      <c r="F44"/>
      <c r="G44"/>
      <c r="H44"/>
      <c r="I44"/>
      <c r="J44"/>
      <c r="K44"/>
      <c r="L44"/>
      <c r="M44"/>
      <c r="N44"/>
      <c r="O44"/>
      <c r="P44"/>
      <c r="Q44"/>
      <c r="R44"/>
    </row>
    <row r="45" spans="1:19" ht="12.75" customHeight="1" x14ac:dyDescent="0.2">
      <c r="A45"/>
      <c r="B45"/>
      <c r="C45"/>
      <c r="D45"/>
      <c r="E45"/>
      <c r="F45"/>
      <c r="G45"/>
      <c r="H45"/>
      <c r="I45"/>
      <c r="J45"/>
      <c r="K45"/>
      <c r="L45"/>
      <c r="M45"/>
      <c r="N45"/>
      <c r="O45"/>
      <c r="P45"/>
      <c r="Q45"/>
      <c r="R45"/>
    </row>
    <row r="46" spans="1:19" ht="12.75" customHeight="1" x14ac:dyDescent="0.2">
      <c r="A46"/>
      <c r="B46"/>
      <c r="C46"/>
      <c r="D46"/>
      <c r="E46"/>
      <c r="F46"/>
      <c r="G46"/>
      <c r="H46"/>
      <c r="I46"/>
      <c r="J46"/>
      <c r="K46"/>
      <c r="L46"/>
      <c r="M46"/>
      <c r="N46"/>
      <c r="O46"/>
      <c r="P46"/>
      <c r="Q46"/>
      <c r="R46"/>
    </row>
    <row r="47" spans="1:19" ht="12.75" customHeight="1" x14ac:dyDescent="0.2">
      <c r="A47"/>
      <c r="B47"/>
      <c r="C47"/>
      <c r="D47"/>
      <c r="E47"/>
      <c r="F47"/>
      <c r="G47"/>
      <c r="H47"/>
      <c r="I47"/>
      <c r="J47"/>
      <c r="K47"/>
      <c r="L47"/>
      <c r="M47"/>
      <c r="N47"/>
      <c r="O47"/>
      <c r="P47"/>
      <c r="Q47"/>
      <c r="R47"/>
    </row>
    <row r="48" spans="1:19" ht="12.75" customHeight="1" x14ac:dyDescent="0.2">
      <c r="A48"/>
      <c r="B48"/>
      <c r="C48"/>
      <c r="D48"/>
      <c r="E48"/>
      <c r="F48"/>
      <c r="G48"/>
      <c r="H48"/>
      <c r="I48"/>
      <c r="J48"/>
      <c r="K48"/>
      <c r="L48"/>
      <c r="M48"/>
      <c r="N48"/>
      <c r="O48"/>
      <c r="P48"/>
      <c r="Q48"/>
      <c r="R48"/>
    </row>
    <row r="49" spans="1:18" ht="12.75" customHeight="1" x14ac:dyDescent="0.2">
      <c r="A49"/>
      <c r="B49"/>
      <c r="C49"/>
      <c r="D49"/>
      <c r="E49"/>
      <c r="F49"/>
      <c r="G49"/>
      <c r="H49"/>
      <c r="I49"/>
      <c r="J49"/>
      <c r="K49"/>
      <c r="L49"/>
      <c r="M49"/>
      <c r="N49"/>
      <c r="O49"/>
      <c r="P49"/>
      <c r="Q49"/>
      <c r="R49"/>
    </row>
    <row r="50" spans="1:18" ht="12.75" customHeight="1" x14ac:dyDescent="0.2">
      <c r="A50"/>
      <c r="B50"/>
      <c r="C50"/>
      <c r="D50"/>
      <c r="E50"/>
      <c r="F50"/>
      <c r="G50"/>
      <c r="H50"/>
      <c r="I50"/>
      <c r="J50"/>
      <c r="K50"/>
      <c r="L50"/>
      <c r="M50"/>
      <c r="N50"/>
      <c r="O50"/>
      <c r="P50"/>
      <c r="Q50"/>
      <c r="R50"/>
    </row>
    <row r="51" spans="1:18" ht="12.75" customHeight="1" x14ac:dyDescent="0.2">
      <c r="A51"/>
      <c r="B51"/>
      <c r="C51"/>
      <c r="D51"/>
      <c r="E51"/>
      <c r="F51"/>
      <c r="G51"/>
      <c r="H51"/>
      <c r="I51"/>
      <c r="J51"/>
      <c r="K51"/>
      <c r="L51"/>
      <c r="M51"/>
      <c r="N51"/>
      <c r="O51"/>
      <c r="P51"/>
      <c r="Q51"/>
      <c r="R51"/>
    </row>
    <row r="52" spans="1:18" ht="12.75" customHeight="1" x14ac:dyDescent="0.2">
      <c r="A52"/>
      <c r="B52"/>
      <c r="C52"/>
      <c r="D52"/>
      <c r="E52"/>
      <c r="F52"/>
      <c r="G52"/>
      <c r="H52"/>
      <c r="I52"/>
      <c r="J52"/>
      <c r="K52"/>
      <c r="L52"/>
      <c r="M52"/>
      <c r="N52"/>
      <c r="O52"/>
      <c r="P52"/>
      <c r="Q52"/>
      <c r="R52"/>
    </row>
    <row r="53" spans="1:18" ht="12.75" customHeight="1" x14ac:dyDescent="0.2">
      <c r="A53"/>
      <c r="B53"/>
      <c r="C53"/>
      <c r="D53"/>
      <c r="E53"/>
      <c r="F53"/>
      <c r="G53"/>
      <c r="H53"/>
      <c r="I53"/>
      <c r="J53"/>
      <c r="K53"/>
      <c r="L53"/>
      <c r="M53"/>
      <c r="N53"/>
      <c r="O53"/>
      <c r="P53"/>
      <c r="Q53"/>
      <c r="R53"/>
    </row>
    <row r="54" spans="1:18" ht="12.75" customHeight="1" x14ac:dyDescent="0.2">
      <c r="A54"/>
      <c r="B54"/>
      <c r="C54"/>
      <c r="D54"/>
      <c r="E54"/>
      <c r="F54"/>
      <c r="G54"/>
      <c r="H54"/>
      <c r="I54"/>
      <c r="J54"/>
      <c r="K54"/>
      <c r="L54"/>
      <c r="M54"/>
      <c r="N54"/>
      <c r="O54"/>
      <c r="P54"/>
      <c r="Q54"/>
      <c r="R54"/>
    </row>
    <row r="55" spans="1:18" ht="12.75" customHeight="1" x14ac:dyDescent="0.2">
      <c r="A55"/>
      <c r="B55"/>
      <c r="C55"/>
      <c r="D55"/>
      <c r="E55"/>
      <c r="F55"/>
      <c r="G55"/>
      <c r="H55"/>
      <c r="I55"/>
      <c r="J55"/>
      <c r="K55"/>
      <c r="L55"/>
      <c r="M55"/>
      <c r="N55"/>
      <c r="O55"/>
      <c r="P55"/>
      <c r="Q55"/>
      <c r="R55"/>
    </row>
    <row r="56" spans="1:18" ht="12.75" customHeight="1" x14ac:dyDescent="0.2">
      <c r="A56"/>
      <c r="B56"/>
      <c r="C56"/>
      <c r="D56"/>
      <c r="E56"/>
      <c r="F56"/>
      <c r="G56"/>
      <c r="H56"/>
      <c r="I56"/>
      <c r="J56"/>
      <c r="K56"/>
      <c r="L56"/>
      <c r="M56"/>
      <c r="N56"/>
      <c r="O56"/>
      <c r="P56"/>
      <c r="Q56"/>
      <c r="R56"/>
    </row>
    <row r="57" spans="1:18" ht="12.75" customHeight="1" x14ac:dyDescent="0.2">
      <c r="A57"/>
      <c r="B57"/>
      <c r="C57"/>
      <c r="D57"/>
      <c r="E57"/>
      <c r="F57"/>
      <c r="G57"/>
      <c r="H57"/>
      <c r="I57"/>
      <c r="J57"/>
      <c r="K57"/>
      <c r="L57"/>
      <c r="M57"/>
      <c r="N57"/>
      <c r="O57"/>
      <c r="P57"/>
      <c r="Q57"/>
      <c r="R57"/>
    </row>
    <row r="58" spans="1:18" ht="12.75" customHeight="1" x14ac:dyDescent="0.2">
      <c r="A58"/>
      <c r="B58"/>
      <c r="C58"/>
      <c r="D58"/>
      <c r="E58"/>
      <c r="F58"/>
      <c r="G58"/>
      <c r="H58"/>
      <c r="I58"/>
      <c r="J58"/>
      <c r="K58"/>
      <c r="L58"/>
      <c r="M58"/>
      <c r="N58"/>
      <c r="O58"/>
      <c r="P58"/>
      <c r="Q58"/>
      <c r="R58"/>
    </row>
    <row r="59" spans="1:18" ht="12.75" customHeight="1" x14ac:dyDescent="0.2">
      <c r="A59"/>
      <c r="B59"/>
      <c r="C59"/>
      <c r="D59"/>
      <c r="E59"/>
      <c r="F59"/>
      <c r="G59"/>
      <c r="H59"/>
      <c r="I59"/>
      <c r="J59"/>
      <c r="K59"/>
      <c r="L59"/>
      <c r="M59"/>
      <c r="N59"/>
      <c r="O59"/>
      <c r="P59"/>
      <c r="Q59"/>
      <c r="R59"/>
    </row>
    <row r="60" spans="1:18" ht="12.75" customHeight="1" x14ac:dyDescent="0.2">
      <c r="A60"/>
      <c r="B60"/>
      <c r="C60"/>
      <c r="D60"/>
      <c r="E60"/>
      <c r="F60"/>
      <c r="G60"/>
      <c r="H60"/>
      <c r="I60"/>
      <c r="J60"/>
      <c r="K60"/>
      <c r="L60"/>
      <c r="M60"/>
      <c r="N60"/>
      <c r="O60"/>
    </row>
    <row r="61" spans="1:18" ht="12.75" customHeight="1" x14ac:dyDescent="0.2">
      <c r="A61"/>
      <c r="B61"/>
      <c r="C61"/>
      <c r="D61"/>
      <c r="E61"/>
      <c r="F61"/>
      <c r="G61"/>
      <c r="H61"/>
      <c r="I61"/>
      <c r="J61"/>
      <c r="K61"/>
      <c r="L61"/>
      <c r="M61"/>
      <c r="N61"/>
      <c r="O61"/>
    </row>
    <row r="62" spans="1:18" ht="12.75" customHeight="1" x14ac:dyDescent="0.2">
      <c r="A62"/>
      <c r="B62"/>
      <c r="C62"/>
      <c r="D62"/>
      <c r="E62"/>
      <c r="F62"/>
      <c r="G62"/>
      <c r="H62"/>
      <c r="I62"/>
      <c r="J62"/>
      <c r="K62"/>
      <c r="L62"/>
      <c r="M62"/>
      <c r="N62"/>
      <c r="O62"/>
    </row>
    <row r="63" spans="1:18" ht="12.75" customHeight="1" x14ac:dyDescent="0.2">
      <c r="A63"/>
      <c r="B63"/>
      <c r="C63"/>
      <c r="D63"/>
      <c r="E63"/>
      <c r="F63"/>
      <c r="G63"/>
      <c r="H63"/>
      <c r="I63"/>
      <c r="J63"/>
      <c r="K63"/>
      <c r="L63"/>
      <c r="M63"/>
      <c r="N63"/>
      <c r="O63"/>
    </row>
    <row r="64" spans="1:18" ht="12.75" customHeight="1" x14ac:dyDescent="0.2">
      <c r="A64"/>
      <c r="B64"/>
      <c r="C64"/>
      <c r="D64"/>
      <c r="E64"/>
      <c r="F64"/>
      <c r="G64"/>
      <c r="H64"/>
      <c r="I64"/>
      <c r="J64"/>
      <c r="K64"/>
      <c r="L64"/>
      <c r="M64"/>
      <c r="N64"/>
      <c r="O64"/>
    </row>
    <row r="65" spans="1:18" ht="12.75" customHeight="1" x14ac:dyDescent="0.2">
      <c r="A65"/>
      <c r="B65"/>
      <c r="C65"/>
      <c r="D65"/>
      <c r="E65"/>
      <c r="F65"/>
      <c r="G65"/>
      <c r="H65"/>
      <c r="I65"/>
      <c r="J65"/>
      <c r="K65"/>
      <c r="L65"/>
      <c r="M65"/>
      <c r="N65"/>
      <c r="O65"/>
      <c r="P65" s="1"/>
      <c r="Q65" s="1"/>
    </row>
    <row r="66" spans="1:18" ht="12.75" customHeight="1" x14ac:dyDescent="0.2">
      <c r="A66"/>
      <c r="B66"/>
      <c r="C66"/>
      <c r="D66"/>
      <c r="E66"/>
      <c r="F66"/>
      <c r="G66"/>
      <c r="H66"/>
      <c r="I66"/>
      <c r="J66"/>
      <c r="K66"/>
      <c r="L66"/>
      <c r="M66"/>
      <c r="N66"/>
      <c r="O66"/>
      <c r="P66" s="1"/>
      <c r="Q66" s="1"/>
    </row>
    <row r="67" spans="1:18" ht="12.75" customHeight="1" x14ac:dyDescent="0.2">
      <c r="A67"/>
      <c r="B67"/>
      <c r="C67"/>
      <c r="D67"/>
      <c r="E67"/>
      <c r="F67"/>
      <c r="G67"/>
      <c r="H67"/>
      <c r="I67"/>
      <c r="J67"/>
      <c r="K67"/>
      <c r="L67"/>
      <c r="M67"/>
      <c r="N67"/>
      <c r="O67"/>
      <c r="P67" s="1"/>
      <c r="Q67" s="1"/>
    </row>
    <row r="68" spans="1:18" ht="12.75" customHeight="1" x14ac:dyDescent="0.2">
      <c r="A68"/>
      <c r="B68"/>
      <c r="C68"/>
      <c r="D68"/>
      <c r="E68"/>
      <c r="F68"/>
      <c r="G68"/>
      <c r="H68"/>
      <c r="I68"/>
      <c r="J68"/>
      <c r="K68"/>
      <c r="L68"/>
      <c r="M68"/>
      <c r="N68"/>
      <c r="O68"/>
      <c r="P68" s="1"/>
      <c r="Q68" s="1"/>
    </row>
    <row r="69" spans="1:18" ht="12.75" customHeight="1" x14ac:dyDescent="0.2">
      <c r="A69"/>
      <c r="B69"/>
      <c r="C69"/>
      <c r="D69"/>
      <c r="E69"/>
      <c r="F69"/>
      <c r="G69"/>
      <c r="H69"/>
      <c r="I69"/>
      <c r="J69"/>
      <c r="K69"/>
      <c r="L69"/>
      <c r="M69"/>
      <c r="N69"/>
      <c r="O69"/>
      <c r="P69" s="1"/>
      <c r="Q69" s="1"/>
    </row>
    <row r="70" spans="1:18" ht="12.75" customHeight="1" x14ac:dyDescent="0.2">
      <c r="A70"/>
      <c r="B70"/>
      <c r="C70"/>
      <c r="D70"/>
      <c r="E70"/>
      <c r="F70"/>
      <c r="G70"/>
      <c r="H70"/>
      <c r="I70"/>
      <c r="J70"/>
      <c r="K70"/>
      <c r="L70"/>
      <c r="M70"/>
      <c r="N70"/>
      <c r="O70"/>
      <c r="P70" s="1"/>
      <c r="Q70" s="1"/>
    </row>
    <row r="71" spans="1:18" ht="12.75" customHeight="1" x14ac:dyDescent="0.2"/>
    <row r="72" spans="1:18" ht="12.75" customHeight="1" x14ac:dyDescent="0.2">
      <c r="A72" s="30"/>
      <c r="B72" s="13"/>
      <c r="C72" s="13"/>
      <c r="D72" s="13"/>
      <c r="E72" s="13"/>
      <c r="F72" s="13"/>
      <c r="G72" s="13"/>
      <c r="H72" s="13"/>
      <c r="I72" s="13"/>
      <c r="J72" s="13"/>
      <c r="K72" s="13"/>
      <c r="L72" s="13"/>
      <c r="M72" s="13"/>
      <c r="N72" s="13"/>
      <c r="O72" s="13"/>
      <c r="P72" s="13"/>
      <c r="Q72" s="13"/>
      <c r="R72" s="37"/>
    </row>
    <row r="73" spans="1:18" ht="12" customHeight="1" x14ac:dyDescent="0.2">
      <c r="A73" s="44" t="s">
        <v>76</v>
      </c>
      <c r="B73" s="45"/>
      <c r="C73" s="46"/>
      <c r="D73" s="47" t="s">
        <v>14</v>
      </c>
      <c r="E73" s="45" t="s">
        <v>15</v>
      </c>
      <c r="F73" s="48"/>
      <c r="G73" s="48"/>
      <c r="H73" s="48"/>
      <c r="I73" s="46"/>
      <c r="J73" s="49" t="s">
        <v>14</v>
      </c>
      <c r="K73" s="45" t="s">
        <v>129</v>
      </c>
      <c r="L73" s="50"/>
      <c r="M73" s="50"/>
      <c r="N73" s="45"/>
      <c r="O73" s="46"/>
      <c r="P73" s="45" t="s">
        <v>16</v>
      </c>
      <c r="Q73" s="48"/>
      <c r="R73" s="548" t="s">
        <v>560</v>
      </c>
    </row>
    <row r="74" spans="1:18" ht="12" customHeight="1" x14ac:dyDescent="0.2">
      <c r="A74" s="51" t="s">
        <v>17</v>
      </c>
      <c r="B74" s="52"/>
      <c r="C74" s="53"/>
      <c r="D74" s="54">
        <v>1</v>
      </c>
      <c r="E74" s="40" t="str">
        <f>IF(D10&gt;0,IF(D10=D74,E9,""),"")</f>
        <v>MAJCAN, Lovro</v>
      </c>
      <c r="F74" s="54"/>
      <c r="G74" s="55"/>
      <c r="H74" s="40"/>
      <c r="I74" s="56"/>
      <c r="J74" s="57">
        <v>1</v>
      </c>
      <c r="K74" s="139"/>
      <c r="L74" s="58"/>
      <c r="M74" s="58"/>
      <c r="N74" s="58"/>
      <c r="O74" s="56"/>
      <c r="P74" s="59" t="s">
        <v>130</v>
      </c>
      <c r="Q74" s="52"/>
      <c r="R74" s="60"/>
    </row>
    <row r="75" spans="1:18" ht="12" customHeight="1" x14ac:dyDescent="0.2">
      <c r="A75" s="603" t="str">
        <f>Pocetna!$B$14</f>
        <v>01.04.2016.</v>
      </c>
      <c r="B75" s="604"/>
      <c r="C75" s="605"/>
      <c r="D75" s="54"/>
      <c r="E75" s="40" t="str">
        <f>IF(D10&gt;0,IF(D10=D74,E10,""),"")</f>
        <v>VUKADIN, Noa</v>
      </c>
      <c r="F75" s="54"/>
      <c r="G75" s="55"/>
      <c r="H75" s="40"/>
      <c r="I75" s="56"/>
      <c r="J75" s="57"/>
      <c r="K75" s="139"/>
      <c r="L75" s="58"/>
      <c r="M75" s="58"/>
      <c r="N75" s="58"/>
      <c r="O75" s="56"/>
      <c r="P75" s="156" t="s">
        <v>588</v>
      </c>
      <c r="Q75" s="62"/>
      <c r="R75" s="63"/>
    </row>
    <row r="76" spans="1:18" ht="12" customHeight="1" x14ac:dyDescent="0.2">
      <c r="A76" s="135" t="s">
        <v>23</v>
      </c>
      <c r="B76" s="40"/>
      <c r="C76" s="65"/>
      <c r="D76" s="54">
        <v>2</v>
      </c>
      <c r="E76" s="40" t="str">
        <f>IF(D38&gt;0,IF(D38=D76,E37,""),"")</f>
        <v>DOŠEN, Luka</v>
      </c>
      <c r="F76" s="54"/>
      <c r="G76" s="55"/>
      <c r="H76" s="40"/>
      <c r="I76" s="56"/>
      <c r="J76" s="168">
        <v>2</v>
      </c>
      <c r="K76" s="139"/>
      <c r="L76" s="58"/>
      <c r="M76" s="58"/>
      <c r="N76" s="58"/>
      <c r="O76" s="56"/>
      <c r="P76" s="59" t="s">
        <v>22</v>
      </c>
      <c r="Q76" s="52"/>
      <c r="R76" s="60"/>
    </row>
    <row r="77" spans="1:18" ht="12" customHeight="1" x14ac:dyDescent="0.2">
      <c r="A77" s="64" t="s">
        <v>26</v>
      </c>
      <c r="B77" s="58"/>
      <c r="C77" s="65" t="str">
        <f>$B$9&amp;"/"&amp;$B$10</f>
        <v>13/9</v>
      </c>
      <c r="D77" s="54"/>
      <c r="E77" s="40" t="str">
        <f>IF(D38&gt;0,IF(D38=D76,E38,""),"")</f>
        <v>ŠKREB, Daniel</v>
      </c>
      <c r="F77" s="54"/>
      <c r="G77" s="55"/>
      <c r="H77" s="40"/>
      <c r="I77" s="56"/>
      <c r="J77" s="168"/>
      <c r="K77" s="139"/>
      <c r="L77" s="58"/>
      <c r="M77" s="58"/>
      <c r="N77" s="185"/>
      <c r="O77" s="56"/>
      <c r="P77" s="156" t="s">
        <v>347</v>
      </c>
      <c r="Q77" s="58"/>
      <c r="R77" s="56"/>
    </row>
    <row r="78" spans="1:18" ht="12" customHeight="1" x14ac:dyDescent="0.2">
      <c r="A78" s="64" t="s">
        <v>18</v>
      </c>
      <c r="B78" s="58"/>
      <c r="C78" s="143" t="s">
        <v>589</v>
      </c>
      <c r="D78" s="54"/>
      <c r="E78" s="40"/>
      <c r="F78" s="54"/>
      <c r="G78" s="55"/>
      <c r="H78" s="40"/>
      <c r="I78" s="56"/>
      <c r="J78" s="168"/>
      <c r="K78" s="139"/>
      <c r="L78" s="58"/>
      <c r="M78" s="58"/>
      <c r="N78" s="185"/>
      <c r="O78" s="56"/>
      <c r="P78" s="141" t="s">
        <v>344</v>
      </c>
      <c r="Q78" s="62"/>
      <c r="R78" s="63"/>
    </row>
    <row r="79" spans="1:18" ht="12" customHeight="1" x14ac:dyDescent="0.2">
      <c r="A79" s="135" t="s">
        <v>24</v>
      </c>
      <c r="B79" s="40"/>
      <c r="C79" s="65"/>
      <c r="D79" s="54"/>
      <c r="E79" s="40"/>
      <c r="F79" s="54"/>
      <c r="G79" s="55"/>
      <c r="H79" s="40"/>
      <c r="I79" s="56"/>
      <c r="J79" s="66" t="s">
        <v>21</v>
      </c>
      <c r="K79" s="52"/>
      <c r="L79" s="52"/>
      <c r="M79" s="52"/>
      <c r="N79" s="67"/>
      <c r="O79" s="60"/>
      <c r="P79" s="59" t="s">
        <v>20</v>
      </c>
      <c r="Q79" s="52"/>
      <c r="R79" s="60"/>
    </row>
    <row r="80" spans="1:18" ht="12" customHeight="1" x14ac:dyDescent="0.2">
      <c r="A80" s="64" t="s">
        <v>26</v>
      </c>
      <c r="B80" s="58"/>
      <c r="C80" s="65" t="str">
        <f>$B$9&amp;"/"&amp;$B$10</f>
        <v>13/9</v>
      </c>
      <c r="D80" s="54"/>
      <c r="E80" s="40"/>
      <c r="F80" s="54"/>
      <c r="G80" s="55"/>
      <c r="H80" s="40"/>
      <c r="I80" s="56"/>
      <c r="J80" s="68" t="str">
        <f>Pocetna!F14</f>
        <v xml:space="preserve">Boris Lumpert </v>
      </c>
      <c r="K80" s="58"/>
      <c r="L80" s="58"/>
      <c r="M80" s="58"/>
      <c r="N80" s="58"/>
      <c r="O80" s="56"/>
      <c r="P80" s="64"/>
      <c r="Q80" s="58"/>
      <c r="R80" s="56"/>
    </row>
    <row r="81" spans="1:18" ht="12" customHeight="1" x14ac:dyDescent="0.2">
      <c r="A81" s="61" t="s">
        <v>18</v>
      </c>
      <c r="B81" s="62"/>
      <c r="C81" s="144" t="s">
        <v>587</v>
      </c>
      <c r="D81" s="69"/>
      <c r="E81" s="62"/>
      <c r="F81" s="69"/>
      <c r="G81" s="70"/>
      <c r="H81" s="62"/>
      <c r="I81" s="63"/>
      <c r="J81" s="71">
        <f>Pocetna!F15</f>
        <v>0</v>
      </c>
      <c r="K81" s="62"/>
      <c r="L81" s="62"/>
      <c r="M81" s="62"/>
      <c r="N81" s="62"/>
      <c r="O81" s="63"/>
      <c r="P81" s="61" t="str">
        <f>Pocetna!$F$12</f>
        <v>Mladen Šančić</v>
      </c>
      <c r="Q81" s="62"/>
      <c r="R81" s="63"/>
    </row>
    <row r="82" spans="1:18" ht="13.5" customHeight="1" x14ac:dyDescent="0.2">
      <c r="A82" s="13"/>
      <c r="B82" s="13"/>
      <c r="C82" s="13"/>
      <c r="D82" s="13"/>
      <c r="E82" s="13"/>
      <c r="F82" s="13"/>
      <c r="G82" s="13"/>
      <c r="H82" s="13"/>
      <c r="I82" s="13"/>
      <c r="J82" s="13"/>
      <c r="K82" s="13"/>
      <c r="L82" s="13"/>
      <c r="M82" s="13"/>
      <c r="N82" s="13"/>
      <c r="O82" s="13"/>
      <c r="P82" s="13"/>
      <c r="Q82" s="13"/>
      <c r="R82" s="13"/>
    </row>
    <row r="83" spans="1:18" ht="13.5" customHeight="1" x14ac:dyDescent="0.2">
      <c r="A83" s="13"/>
      <c r="B83" s="13"/>
      <c r="C83" s="13"/>
      <c r="D83" s="13"/>
      <c r="E83" s="13"/>
      <c r="F83" s="13"/>
      <c r="G83" s="13"/>
      <c r="H83" s="13"/>
      <c r="I83" s="13"/>
      <c r="J83" s="13"/>
      <c r="K83" s="13"/>
      <c r="L83" s="13"/>
      <c r="M83" s="13"/>
      <c r="N83" s="19"/>
      <c r="O83" s="13"/>
      <c r="P83" s="13"/>
      <c r="Q83" s="13"/>
      <c r="R83" s="13"/>
    </row>
    <row r="84" spans="1:18" ht="13.5" customHeight="1" x14ac:dyDescent="0.2">
      <c r="A84" s="13"/>
      <c r="B84" s="13"/>
      <c r="C84" s="13"/>
      <c r="D84" s="13"/>
      <c r="E84" s="13"/>
      <c r="F84" s="13"/>
      <c r="G84" s="13"/>
      <c r="H84" s="13"/>
      <c r="I84" s="13"/>
      <c r="J84" s="13"/>
      <c r="K84" s="13"/>
      <c r="L84" s="13"/>
      <c r="M84" s="13"/>
      <c r="N84" s="19"/>
      <c r="O84" s="13"/>
      <c r="P84" s="13"/>
      <c r="Q84" s="13"/>
      <c r="R84" s="13"/>
    </row>
    <row r="85" spans="1:18" ht="13.5" customHeight="1" x14ac:dyDescent="0.2">
      <c r="A85" s="13"/>
      <c r="B85" s="13"/>
      <c r="C85" s="13"/>
      <c r="D85" s="13"/>
      <c r="E85" s="13"/>
      <c r="F85" s="13"/>
      <c r="G85" s="13"/>
      <c r="H85" s="13"/>
      <c r="I85" s="13"/>
      <c r="J85" s="13"/>
      <c r="K85" s="13"/>
      <c r="L85" s="13"/>
      <c r="M85" s="13"/>
      <c r="N85" s="19"/>
      <c r="O85" s="13"/>
      <c r="P85" s="13"/>
      <c r="Q85" s="13"/>
      <c r="R85" s="13"/>
    </row>
  </sheetData>
  <sheetProtection sort="0" autoFilter="0"/>
  <mergeCells count="34">
    <mergeCell ref="I11:L11"/>
    <mergeCell ref="I19:L19"/>
    <mergeCell ref="E13:F13"/>
    <mergeCell ref="I12:L12"/>
    <mergeCell ref="E14:F14"/>
    <mergeCell ref="E17:F17"/>
    <mergeCell ref="E18:F18"/>
    <mergeCell ref="M6:N6"/>
    <mergeCell ref="I6:K6"/>
    <mergeCell ref="E6:F6"/>
    <mergeCell ref="E10:F10"/>
    <mergeCell ref="E9:F9"/>
    <mergeCell ref="A75:C75"/>
    <mergeCell ref="E34:F34"/>
    <mergeCell ref="I27:L27"/>
    <mergeCell ref="M31:O31"/>
    <mergeCell ref="M32:O32"/>
    <mergeCell ref="E37:F37"/>
    <mergeCell ref="E38:F38"/>
    <mergeCell ref="I36:L36"/>
    <mergeCell ref="I35:L35"/>
    <mergeCell ref="E33:F33"/>
    <mergeCell ref="E30:F30"/>
    <mergeCell ref="E29:F29"/>
    <mergeCell ref="P22:Q22"/>
    <mergeCell ref="P23:Q23"/>
    <mergeCell ref="E26:F26"/>
    <mergeCell ref="I28:L28"/>
    <mergeCell ref="M15:O15"/>
    <mergeCell ref="E25:F25"/>
    <mergeCell ref="M16:O16"/>
    <mergeCell ref="I20:L20"/>
    <mergeCell ref="E21:F21"/>
    <mergeCell ref="E22:F22"/>
  </mergeCells>
  <phoneticPr fontId="0" type="noConversion"/>
  <conditionalFormatting sqref="I20 I28 I12 I36">
    <cfRule type="expression" dxfId="23" priority="1" stopIfTrue="1">
      <formula>H12="as"</formula>
    </cfRule>
    <cfRule type="expression" dxfId="22" priority="2" stopIfTrue="1">
      <formula>H12="bs"</formula>
    </cfRule>
  </conditionalFormatting>
  <conditionalFormatting sqref="K16 N24 G28 G36 G12 G20 K32">
    <cfRule type="expression" dxfId="21" priority="3" stopIfTrue="1">
      <formula>AND($P$1="Sudac",G12=$U$1)</formula>
    </cfRule>
    <cfRule type="expression" dxfId="20" priority="4" stopIfTrue="1">
      <formula>AND($P$1="Sudac",G12&lt;&gt;$U$1,H12&lt;&gt;"")</formula>
    </cfRule>
    <cfRule type="expression" dxfId="19" priority="5" stopIfTrue="1">
      <formula>AND($P$1="Sudac",G12&lt;&gt;$U$1)</formula>
    </cfRule>
  </conditionalFormatting>
  <conditionalFormatting sqref="I11:L11 I19:L19 M15:O15 I27:L27 I35:L35 M31:O31 P23 R22">
    <cfRule type="expression" dxfId="18" priority="6" stopIfTrue="1">
      <formula>H12="as"</formula>
    </cfRule>
    <cfRule type="expression" dxfId="17" priority="7" stopIfTrue="1">
      <formula>H12="bs"</formula>
    </cfRule>
  </conditionalFormatting>
  <conditionalFormatting sqref="M16:O16 M32:O32 R23">
    <cfRule type="expression" dxfId="16" priority="8" stopIfTrue="1">
      <formula>L16="as"</formula>
    </cfRule>
    <cfRule type="expression" dxfId="15" priority="9" stopIfTrue="1">
      <formula>L16="bs"</formula>
    </cfRule>
  </conditionalFormatting>
  <conditionalFormatting sqref="P22">
    <cfRule type="expression" dxfId="14" priority="10" stopIfTrue="1">
      <formula>O24="as"</formula>
    </cfRule>
    <cfRule type="expression" dxfId="13" priority="11" stopIfTrue="1">
      <formula>O24="bs"</formula>
    </cfRule>
  </conditionalFormatting>
  <conditionalFormatting sqref="C78 C81 P75 P77">
    <cfRule type="expression" dxfId="12" priority="12" stopIfTrue="1">
      <formula>C75="xx"</formula>
    </cfRule>
    <cfRule type="expression" dxfId="11" priority="13" stopIfTrue="1">
      <formula>C75=""</formula>
    </cfRule>
  </conditionalFormatting>
  <conditionalFormatting sqref="D38 D34 D30 D26 D22 D18 D14 D10">
    <cfRule type="expression" dxfId="10" priority="14" stopIfTrue="1">
      <formula>AND($D10&gt;0,$D10&lt;3)</formula>
    </cfRule>
    <cfRule type="expression" dxfId="9" priority="15" stopIfTrue="1">
      <formula>$D10&gt;0</formula>
    </cfRule>
    <cfRule type="expression" dxfId="8" priority="16" stopIfTrue="1">
      <formula>$E10="Bye"</formula>
    </cfRule>
  </conditionalFormatting>
  <conditionalFormatting sqref="R73">
    <cfRule type="expression" dxfId="7" priority="17" stopIfTrue="1">
      <formula>R73="dd.mm.gggg. / ss:mm"</formula>
    </cfRule>
    <cfRule type="expression" dxfId="6" priority="18" stopIfTrue="1">
      <formula>R73=""</formula>
    </cfRule>
  </conditionalFormatting>
  <conditionalFormatting sqref="E9:F9 E13:F13 E17:F17 E21:F21 E25:F25 E29:F29 E33:F33 E37:F37">
    <cfRule type="expression" dxfId="5" priority="19" stopIfTrue="1">
      <formula>AND($D10&gt;0,$D10&lt;3)</formula>
    </cfRule>
    <cfRule type="expression" dxfId="4" priority="20" stopIfTrue="1">
      <formula>$D10&gt;0</formula>
    </cfRule>
    <cfRule type="expression" dxfId="3" priority="21" stopIfTrue="1">
      <formula>$E10="Bye"</formula>
    </cfRule>
  </conditionalFormatting>
  <conditionalFormatting sqref="E10:F10 E14:F14 E18:F18 E22:F22 E26:F26 E30:F30 E34:F34 E38:F38">
    <cfRule type="expression" dxfId="2" priority="22" stopIfTrue="1">
      <formula>AND($D10&gt;0,$D10&lt;3,$B10&gt;0)</formula>
    </cfRule>
    <cfRule type="expression" dxfId="1" priority="23" stopIfTrue="1">
      <formula>$D10&gt;0</formula>
    </cfRule>
    <cfRule type="expression" dxfId="0" priority="24" stopIfTrue="1">
      <formula>$E10="Bye"</formula>
    </cfRule>
  </conditionalFormatting>
  <dataValidations count="1">
    <dataValidation type="list" allowBlank="1" showInputMessage="1" sqref="G28 N24 K32 G36 G12 G20 K16">
      <formula1>$U$1:$U$17</formula1>
    </dataValidation>
  </dataValidations>
  <printOptions horizontalCentered="1" verticalCentered="1"/>
  <pageMargins left="0.19685039370078741" right="0.19685039370078741" top="0.19685039370078741" bottom="0.39370078740157483" header="0.19685039370078741" footer="0.39370078740157483"/>
  <pageSetup paperSize="9" scale="75"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Line="0" autoPict="0" macro="[0]!Sudac_SA">
                <anchor>
                  <from>
                    <xdr:col>15</xdr:col>
                    <xdr:colOff>0</xdr:colOff>
                    <xdr:row>0</xdr:row>
                    <xdr:rowOff>0</xdr:rowOff>
                  </from>
                  <to>
                    <xdr:col>15</xdr:col>
                    <xdr:colOff>647700</xdr:colOff>
                    <xdr:row>0</xdr:row>
                    <xdr:rowOff>266700</xdr:rowOff>
                  </to>
                </anchor>
              </controlPr>
            </control>
          </mc:Choice>
        </mc:AlternateContent>
        <mc:AlternateContent xmlns:mc="http://schemas.openxmlformats.org/markup-compatibility/2006">
          <mc:Choice Requires="x14">
            <control shapeId="22530" r:id="rId5" name="Button 2">
              <controlPr defaultSize="0" print="0" autoFill="0" autoLine="0" autoPict="0" macro="[0]!Sudac_BEZ">
                <anchor>
                  <from>
                    <xdr:col>15</xdr:col>
                    <xdr:colOff>666750</xdr:colOff>
                    <xdr:row>0</xdr:row>
                    <xdr:rowOff>0</xdr:rowOff>
                  </from>
                  <to>
                    <xdr:col>16</xdr:col>
                    <xdr:colOff>0</xdr:colOff>
                    <xdr:row>0</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901" enableFormatConditionsCalculation="0">
    <tabColor indexed="63"/>
    <pageSetUpPr fitToPage="1"/>
  </sheetPr>
  <dimension ref="A1:J60"/>
  <sheetViews>
    <sheetView showGridLines="0" showRowColHeaders="0" showZeros="0" zoomScaleNormal="100" zoomScaleSheetLayoutView="100" workbookViewId="0">
      <selection activeCell="D9" sqref="D9"/>
    </sheetView>
  </sheetViews>
  <sheetFormatPr defaultRowHeight="12.75" x14ac:dyDescent="0.2"/>
  <cols>
    <col min="1" max="1" width="4.7109375" style="4" customWidth="1"/>
    <col min="2" max="6" width="18.7109375" style="4" customWidth="1"/>
    <col min="7" max="7" width="4.7109375" style="4" customWidth="1"/>
    <col min="8" max="8" width="9.140625" style="4"/>
    <col min="9" max="10" width="15.7109375" style="4" hidden="1" customWidth="1"/>
    <col min="11" max="16384" width="9.140625" style="4"/>
  </cols>
  <sheetData>
    <row r="1" spans="1:10" ht="26.25" customHeight="1" thickBot="1" x14ac:dyDescent="0.25">
      <c r="A1" s="579">
        <f>Pocetna!A1</f>
        <v>0</v>
      </c>
      <c r="B1" s="580"/>
      <c r="C1" s="2"/>
      <c r="D1" s="3" t="str">
        <f>Pocetna!D1</f>
        <v>HTS Kosturi 40&gt;</v>
      </c>
      <c r="E1" s="2"/>
      <c r="F1" s="571" t="s">
        <v>323</v>
      </c>
      <c r="G1" s="572"/>
      <c r="H1" s="469"/>
    </row>
    <row r="2" spans="1:10" ht="18" customHeight="1" thickBot="1" x14ac:dyDescent="0.25">
      <c r="A2" s="581"/>
      <c r="B2" s="582"/>
      <c r="C2" s="5"/>
      <c r="D2" s="6" t="s">
        <v>309</v>
      </c>
      <c r="E2" s="5"/>
      <c r="F2" s="573"/>
      <c r="G2" s="574"/>
    </row>
    <row r="3" spans="1:10" ht="9.75" customHeight="1" thickBot="1" x14ac:dyDescent="0.25">
      <c r="A3" s="583"/>
      <c r="B3" s="584"/>
      <c r="C3" s="2"/>
      <c r="D3" s="2"/>
      <c r="E3" s="2"/>
      <c r="F3" s="575"/>
      <c r="G3" s="576"/>
    </row>
    <row r="4" spans="1:10" ht="18" customHeight="1" x14ac:dyDescent="0.2">
      <c r="A4" s="2"/>
      <c r="B4" s="2"/>
      <c r="C4" s="2"/>
      <c r="D4" s="2"/>
      <c r="E4" s="2"/>
      <c r="F4" s="2"/>
      <c r="G4" s="2"/>
    </row>
    <row r="5" spans="1:10" x14ac:dyDescent="0.2">
      <c r="A5" s="2"/>
      <c r="B5" s="2"/>
      <c r="C5" s="2"/>
      <c r="D5" s="2"/>
      <c r="E5" s="2"/>
      <c r="F5" s="7" t="str">
        <f>Pocetna!F5</f>
        <v>HRVATSKI TENISKI SAVEZ</v>
      </c>
      <c r="G5" s="2"/>
    </row>
    <row r="6" spans="1:10" x14ac:dyDescent="0.2">
      <c r="A6" s="2"/>
      <c r="B6" s="2"/>
      <c r="C6" s="2"/>
      <c r="D6" s="2"/>
      <c r="E6" s="2"/>
      <c r="F6" s="7" t="str">
        <f>Pocetna!F6</f>
        <v>ZBOR TENISKIH SUDACA HRVATSKE</v>
      </c>
      <c r="G6" s="2"/>
    </row>
    <row r="7" spans="1:10" ht="22.5" customHeight="1" x14ac:dyDescent="0.2">
      <c r="A7" s="2"/>
      <c r="B7" s="2"/>
      <c r="C7" s="2"/>
      <c r="D7" s="2"/>
      <c r="E7" s="2"/>
      <c r="F7" s="10" t="str">
        <f>Pocetna!F7</f>
        <v>2012.03</v>
      </c>
      <c r="G7" s="2"/>
    </row>
    <row r="8" spans="1:10" ht="12.75" customHeight="1" x14ac:dyDescent="0.15">
      <c r="A8" s="2"/>
      <c r="B8" s="2"/>
      <c r="C8" s="2"/>
      <c r="D8" s="2"/>
      <c r="E8" s="2"/>
      <c r="F8" s="521" t="str">
        <f>Pocetna!F8</f>
        <v>Provjeri za noviju verziju programa nakon:</v>
      </c>
      <c r="G8" s="2"/>
    </row>
    <row r="9" spans="1:10" ht="15" customHeight="1" x14ac:dyDescent="0.15">
      <c r="A9" s="2"/>
      <c r="B9" s="2"/>
      <c r="C9" s="2"/>
      <c r="D9" s="2"/>
      <c r="E9" s="2"/>
      <c r="F9" s="522">
        <f>Pocetna!F9</f>
        <v>39691</v>
      </c>
      <c r="G9" s="2"/>
      <c r="I9" s="234" t="s">
        <v>33</v>
      </c>
      <c r="J9" s="234" t="s">
        <v>34</v>
      </c>
    </row>
    <row r="10" spans="1:10" ht="15" customHeight="1" x14ac:dyDescent="0.15">
      <c r="A10" s="2"/>
      <c r="B10" s="660" t="s">
        <v>317</v>
      </c>
      <c r="C10" s="660"/>
      <c r="D10" s="660"/>
      <c r="E10" s="660"/>
      <c r="F10" s="660"/>
      <c r="G10" s="2"/>
      <c r="I10" s="234" t="s">
        <v>35</v>
      </c>
      <c r="J10" s="234" t="s">
        <v>36</v>
      </c>
    </row>
    <row r="11" spans="1:10" ht="15" customHeight="1" x14ac:dyDescent="0.15">
      <c r="A11" s="2"/>
      <c r="B11" s="660"/>
      <c r="C11" s="660"/>
      <c r="D11" s="660"/>
      <c r="E11" s="660"/>
      <c r="F11" s="660"/>
      <c r="G11" s="2"/>
      <c r="I11" s="234" t="s">
        <v>37</v>
      </c>
      <c r="J11" s="234"/>
    </row>
    <row r="12" spans="1:10" ht="15" customHeight="1" x14ac:dyDescent="0.15">
      <c r="A12" s="2"/>
      <c r="B12" s="660"/>
      <c r="C12" s="660"/>
      <c r="D12" s="660"/>
      <c r="E12" s="660"/>
      <c r="F12" s="660"/>
      <c r="G12" s="2"/>
      <c r="I12" s="234" t="s">
        <v>38</v>
      </c>
      <c r="J12" s="234" t="s">
        <v>39</v>
      </c>
    </row>
    <row r="13" spans="1:10" ht="15" customHeight="1" x14ac:dyDescent="0.15">
      <c r="A13" s="2"/>
      <c r="B13" s="660"/>
      <c r="C13" s="660"/>
      <c r="D13" s="660"/>
      <c r="E13" s="660"/>
      <c r="F13" s="660"/>
      <c r="G13" s="2"/>
      <c r="I13" s="234" t="s">
        <v>40</v>
      </c>
      <c r="J13" s="234"/>
    </row>
    <row r="14" spans="1:10" ht="15" customHeight="1" x14ac:dyDescent="0.15">
      <c r="A14" s="2"/>
      <c r="B14" s="660"/>
      <c r="C14" s="660"/>
      <c r="D14" s="660"/>
      <c r="E14" s="660"/>
      <c r="F14" s="660"/>
      <c r="G14" s="2"/>
      <c r="I14" s="234" t="s">
        <v>41</v>
      </c>
      <c r="J14" s="234" t="s">
        <v>42</v>
      </c>
    </row>
    <row r="15" spans="1:10" ht="15" customHeight="1" x14ac:dyDescent="0.15">
      <c r="A15" s="2"/>
      <c r="B15" s="660"/>
      <c r="C15" s="660"/>
      <c r="D15" s="660"/>
      <c r="E15" s="660"/>
      <c r="F15" s="660"/>
      <c r="G15" s="2"/>
      <c r="I15" s="234" t="s">
        <v>43</v>
      </c>
      <c r="J15" s="234"/>
    </row>
    <row r="16" spans="1:10" ht="15" customHeight="1" x14ac:dyDescent="0.15">
      <c r="A16" s="2"/>
      <c r="B16" s="660"/>
      <c r="C16" s="660"/>
      <c r="D16" s="660"/>
      <c r="E16" s="660"/>
      <c r="F16" s="660"/>
      <c r="G16" s="2"/>
      <c r="I16" s="234" t="s">
        <v>44</v>
      </c>
      <c r="J16" s="234" t="s">
        <v>45</v>
      </c>
    </row>
    <row r="17" spans="1:10" x14ac:dyDescent="0.15">
      <c r="A17" s="2"/>
      <c r="B17" s="660"/>
      <c r="C17" s="660"/>
      <c r="D17" s="660"/>
      <c r="E17" s="660"/>
      <c r="F17" s="660"/>
      <c r="G17" s="2"/>
      <c r="I17" s="234" t="s">
        <v>46</v>
      </c>
      <c r="J17" s="234"/>
    </row>
    <row r="18" spans="1:10" x14ac:dyDescent="0.15">
      <c r="A18" s="2"/>
      <c r="B18" s="660"/>
      <c r="C18" s="660"/>
      <c r="D18" s="660"/>
      <c r="E18" s="660"/>
      <c r="F18" s="660"/>
      <c r="G18" s="2"/>
      <c r="I18" s="234" t="s">
        <v>47</v>
      </c>
      <c r="J18" s="234" t="s">
        <v>48</v>
      </c>
    </row>
    <row r="19" spans="1:10" ht="12.75" customHeight="1" x14ac:dyDescent="0.15">
      <c r="A19" s="2"/>
      <c r="B19" s="660"/>
      <c r="C19" s="660"/>
      <c r="D19" s="660"/>
      <c r="E19" s="660"/>
      <c r="F19" s="660"/>
      <c r="G19" s="2"/>
      <c r="I19" s="234" t="s">
        <v>49</v>
      </c>
      <c r="J19" s="234"/>
    </row>
    <row r="20" spans="1:10" ht="12.75" customHeight="1" x14ac:dyDescent="0.15">
      <c r="A20" s="2"/>
      <c r="B20" s="660"/>
      <c r="C20" s="660"/>
      <c r="D20" s="660"/>
      <c r="E20" s="660"/>
      <c r="F20" s="660"/>
      <c r="G20" s="2"/>
      <c r="I20" s="234" t="s">
        <v>50</v>
      </c>
      <c r="J20" s="234" t="s">
        <v>51</v>
      </c>
    </row>
    <row r="21" spans="1:10" ht="12.75" customHeight="1" x14ac:dyDescent="0.15">
      <c r="A21" s="2"/>
      <c r="B21" s="528"/>
      <c r="C21" s="528"/>
      <c r="D21" s="528"/>
      <c r="E21" s="528"/>
      <c r="F21" s="528"/>
      <c r="G21" s="2"/>
      <c r="I21" s="234" t="s">
        <v>52</v>
      </c>
      <c r="J21" s="234"/>
    </row>
    <row r="22" spans="1:10" x14ac:dyDescent="0.2">
      <c r="A22" s="2"/>
      <c r="B22" s="661" t="s">
        <v>318</v>
      </c>
      <c r="C22" s="661"/>
      <c r="D22" s="661"/>
      <c r="E22" s="661"/>
      <c r="F22" s="661"/>
      <c r="G22" s="2"/>
    </row>
    <row r="23" spans="1:10" x14ac:dyDescent="0.2">
      <c r="A23" s="2"/>
      <c r="B23" s="661"/>
      <c r="C23" s="661"/>
      <c r="D23" s="661"/>
      <c r="E23" s="661"/>
      <c r="F23" s="661"/>
      <c r="G23" s="2"/>
    </row>
    <row r="24" spans="1:10" x14ac:dyDescent="0.2">
      <c r="A24" s="2"/>
      <c r="B24" s="661"/>
      <c r="C24" s="661"/>
      <c r="D24" s="661"/>
      <c r="E24" s="661"/>
      <c r="F24" s="661"/>
      <c r="G24" s="2"/>
    </row>
    <row r="25" spans="1:10" x14ac:dyDescent="0.2">
      <c r="A25" s="2"/>
      <c r="B25" s="661"/>
      <c r="C25" s="661"/>
      <c r="D25" s="661"/>
      <c r="E25" s="661"/>
      <c r="F25" s="661"/>
      <c r="G25" s="2"/>
    </row>
    <row r="26" spans="1:10" x14ac:dyDescent="0.2">
      <c r="A26" s="2"/>
      <c r="B26" s="661"/>
      <c r="C26" s="661"/>
      <c r="D26" s="661"/>
      <c r="E26" s="661"/>
      <c r="F26" s="661"/>
      <c r="G26" s="2"/>
    </row>
    <row r="27" spans="1:10" x14ac:dyDescent="0.2">
      <c r="A27" s="2"/>
      <c r="B27" s="661"/>
      <c r="C27" s="661"/>
      <c r="D27" s="661"/>
      <c r="E27" s="661"/>
      <c r="F27" s="661"/>
      <c r="G27" s="2"/>
    </row>
    <row r="28" spans="1:10" x14ac:dyDescent="0.2">
      <c r="A28" s="2"/>
      <c r="B28" s="661"/>
      <c r="C28" s="661"/>
      <c r="D28" s="661"/>
      <c r="E28" s="661"/>
      <c r="F28" s="661"/>
      <c r="G28" s="2"/>
    </row>
    <row r="29" spans="1:10" x14ac:dyDescent="0.2">
      <c r="A29" s="2"/>
      <c r="B29" s="661"/>
      <c r="C29" s="661"/>
      <c r="D29" s="661"/>
      <c r="E29" s="661"/>
      <c r="F29" s="661"/>
      <c r="G29" s="2"/>
    </row>
    <row r="30" spans="1:10" x14ac:dyDescent="0.2">
      <c r="A30" s="2"/>
      <c r="B30" s="661"/>
      <c r="C30" s="661"/>
      <c r="D30" s="661"/>
      <c r="E30" s="661"/>
      <c r="F30" s="661"/>
      <c r="G30" s="2"/>
    </row>
    <row r="31" spans="1:10" x14ac:dyDescent="0.2">
      <c r="A31" s="2"/>
      <c r="B31" s="661"/>
      <c r="C31" s="661"/>
      <c r="D31" s="661"/>
      <c r="E31" s="661"/>
      <c r="F31" s="661"/>
      <c r="G31" s="2"/>
    </row>
    <row r="32" spans="1:10" x14ac:dyDescent="0.2">
      <c r="A32" s="2"/>
      <c r="B32" s="661"/>
      <c r="C32" s="661"/>
      <c r="D32" s="661"/>
      <c r="E32" s="661"/>
      <c r="F32" s="661"/>
      <c r="G32" s="2"/>
    </row>
    <row r="33" spans="1:7" x14ac:dyDescent="0.2">
      <c r="A33" s="2"/>
      <c r="B33" s="2"/>
      <c r="C33" s="2"/>
      <c r="D33" s="2"/>
      <c r="E33" s="2"/>
      <c r="F33" s="2"/>
      <c r="G33" s="2"/>
    </row>
    <row r="34" spans="1:7" x14ac:dyDescent="0.2">
      <c r="A34" s="2"/>
      <c r="B34" s="2"/>
      <c r="C34" s="2"/>
      <c r="D34" s="2"/>
      <c r="E34" s="2"/>
      <c r="F34" s="2"/>
      <c r="G34" s="2"/>
    </row>
    <row r="35" spans="1:7" x14ac:dyDescent="0.2">
      <c r="A35" s="2"/>
      <c r="B35" s="2"/>
      <c r="C35" s="2"/>
      <c r="D35" s="2"/>
      <c r="E35" s="2"/>
      <c r="F35" s="2"/>
      <c r="G35" s="2"/>
    </row>
    <row r="36" spans="1:7" x14ac:dyDescent="0.2">
      <c r="A36" s="2"/>
      <c r="B36" s="2"/>
      <c r="C36" s="2"/>
      <c r="D36" s="2"/>
      <c r="E36" s="2"/>
      <c r="F36" s="2"/>
      <c r="G36" s="2"/>
    </row>
    <row r="37" spans="1:7" x14ac:dyDescent="0.2">
      <c r="A37" s="2"/>
      <c r="B37" s="2"/>
      <c r="C37" s="2"/>
      <c r="D37" s="2"/>
      <c r="E37" s="2"/>
      <c r="F37" s="2"/>
      <c r="G37" s="2"/>
    </row>
    <row r="38" spans="1:7" x14ac:dyDescent="0.2">
      <c r="A38" s="2"/>
      <c r="B38" s="2"/>
      <c r="C38" s="2"/>
      <c r="D38" s="2"/>
      <c r="E38" s="2"/>
      <c r="F38" s="2"/>
      <c r="G38" s="2"/>
    </row>
    <row r="39" spans="1:7" x14ac:dyDescent="0.2">
      <c r="A39" s="2"/>
      <c r="B39" s="2"/>
      <c r="C39" s="2"/>
      <c r="D39" s="2"/>
      <c r="E39" s="2"/>
      <c r="F39" s="2"/>
      <c r="G39" s="2"/>
    </row>
    <row r="40" spans="1:7" x14ac:dyDescent="0.2">
      <c r="A40" s="2"/>
      <c r="B40" s="2"/>
      <c r="C40" s="2"/>
      <c r="D40" s="2"/>
      <c r="E40" s="2"/>
      <c r="F40" s="2"/>
      <c r="G40" s="2"/>
    </row>
    <row r="41" spans="1:7" x14ac:dyDescent="0.2">
      <c r="A41" s="2"/>
      <c r="B41" s="2"/>
      <c r="C41" s="2"/>
      <c r="D41" s="2"/>
      <c r="E41" s="2"/>
      <c r="F41" s="2"/>
      <c r="G41" s="2"/>
    </row>
    <row r="42" spans="1:7" x14ac:dyDescent="0.2">
      <c r="A42" s="2"/>
      <c r="B42" s="2"/>
      <c r="C42" s="2"/>
      <c r="D42" s="2"/>
      <c r="E42" s="2"/>
      <c r="F42" s="2"/>
      <c r="G42" s="2"/>
    </row>
    <row r="43" spans="1:7" x14ac:dyDescent="0.2">
      <c r="A43" s="2"/>
      <c r="B43" s="2"/>
      <c r="C43" s="2"/>
      <c r="D43" s="2"/>
      <c r="E43" s="2"/>
      <c r="F43" s="2"/>
      <c r="G43" s="2"/>
    </row>
    <row r="44" spans="1:7" x14ac:dyDescent="0.2">
      <c r="A44" s="2"/>
      <c r="B44" s="2"/>
      <c r="C44" s="2"/>
      <c r="D44" s="2"/>
      <c r="E44" s="2"/>
      <c r="F44" s="2"/>
      <c r="G44" s="2"/>
    </row>
    <row r="45" spans="1:7" x14ac:dyDescent="0.2">
      <c r="A45" s="2"/>
      <c r="B45" s="2"/>
      <c r="C45" s="2"/>
      <c r="D45" s="2"/>
      <c r="E45" s="2"/>
      <c r="F45" s="2"/>
      <c r="G45" s="2"/>
    </row>
    <row r="46" spans="1:7" x14ac:dyDescent="0.2">
      <c r="A46" s="2"/>
      <c r="B46" s="2"/>
      <c r="C46" s="2"/>
      <c r="D46" s="2"/>
      <c r="E46" s="2"/>
      <c r="F46" s="2"/>
      <c r="G46" s="2"/>
    </row>
    <row r="47" spans="1:7" x14ac:dyDescent="0.2">
      <c r="A47" s="2"/>
      <c r="B47" s="2"/>
      <c r="C47" s="2"/>
      <c r="D47" s="2"/>
      <c r="E47" s="2"/>
      <c r="F47" s="2"/>
      <c r="G47" s="2"/>
    </row>
    <row r="48" spans="1:7" x14ac:dyDescent="0.2">
      <c r="A48" s="2"/>
      <c r="B48" s="2"/>
      <c r="C48" s="2"/>
      <c r="D48" s="2"/>
      <c r="E48" s="2"/>
      <c r="F48" s="2"/>
      <c r="G48" s="2"/>
    </row>
    <row r="49" spans="1:7" x14ac:dyDescent="0.2">
      <c r="A49" s="2"/>
      <c r="B49" s="2"/>
      <c r="C49" s="2"/>
      <c r="D49" s="2"/>
      <c r="E49" s="2"/>
      <c r="F49" s="2"/>
      <c r="G49" s="2"/>
    </row>
    <row r="50" spans="1:7" x14ac:dyDescent="0.2">
      <c r="A50" s="2"/>
      <c r="B50" s="2"/>
      <c r="C50" s="2"/>
      <c r="D50" s="2"/>
      <c r="E50" s="2"/>
      <c r="F50" s="2"/>
      <c r="G50" s="2"/>
    </row>
    <row r="51" spans="1:7" x14ac:dyDescent="0.2">
      <c r="A51" s="2"/>
      <c r="B51" s="2"/>
      <c r="C51" s="2"/>
      <c r="D51" s="2"/>
      <c r="E51" s="2"/>
      <c r="F51" s="2"/>
      <c r="G51" s="2"/>
    </row>
    <row r="52" spans="1:7" x14ac:dyDescent="0.2">
      <c r="A52" s="2"/>
      <c r="B52" s="2"/>
      <c r="C52" s="2"/>
      <c r="D52" s="2"/>
      <c r="E52" s="2"/>
      <c r="F52" s="2"/>
      <c r="G52" s="2"/>
    </row>
    <row r="53" spans="1:7" x14ac:dyDescent="0.2">
      <c r="A53" s="2"/>
      <c r="B53" s="2"/>
      <c r="C53" s="2"/>
      <c r="D53" s="2"/>
      <c r="E53" s="2"/>
      <c r="F53" s="2"/>
      <c r="G53" s="2"/>
    </row>
    <row r="54" spans="1:7" x14ac:dyDescent="0.2">
      <c r="A54" s="2"/>
      <c r="B54" s="2"/>
      <c r="C54" s="2"/>
      <c r="D54" s="2"/>
      <c r="E54" s="2"/>
      <c r="F54" s="2"/>
      <c r="G54" s="2"/>
    </row>
    <row r="55" spans="1:7" x14ac:dyDescent="0.2">
      <c r="A55" s="2"/>
      <c r="B55" s="2"/>
      <c r="C55" s="2"/>
      <c r="D55" s="2"/>
      <c r="E55" s="2"/>
      <c r="F55" s="2"/>
      <c r="G55" s="2"/>
    </row>
    <row r="56" spans="1:7" x14ac:dyDescent="0.2">
      <c r="A56" s="2"/>
      <c r="B56" s="2"/>
      <c r="C56" s="2"/>
      <c r="D56" s="2"/>
      <c r="E56" s="2"/>
      <c r="F56" s="2"/>
      <c r="G56" s="2"/>
    </row>
    <row r="57" spans="1:7" x14ac:dyDescent="0.2">
      <c r="A57" s="2"/>
      <c r="B57" s="2"/>
      <c r="C57" s="2"/>
      <c r="D57" s="451" t="str">
        <f>Pocetna!D57</f>
        <v>HTS - Hrvatski Teniski Savez</v>
      </c>
      <c r="E57" s="2"/>
      <c r="F57" s="2"/>
      <c r="G57" s="2"/>
    </row>
    <row r="58" spans="1:7" x14ac:dyDescent="0.2">
      <c r="A58" s="8"/>
      <c r="B58" s="2"/>
      <c r="C58" s="2"/>
      <c r="D58" s="451" t="str">
        <f>Pocetna!D58</f>
        <v>ZTSH - Zbor Teniskih Sudaca Hrvatske</v>
      </c>
      <c r="E58" s="2"/>
      <c r="F58" s="2"/>
      <c r="G58" s="449"/>
    </row>
    <row r="59" spans="1:7" x14ac:dyDescent="0.2">
      <c r="A59" s="452"/>
      <c r="B59" s="2"/>
      <c r="C59" s="2"/>
      <c r="D59" s="451" t="str">
        <f>Pocetna!D59</f>
        <v>Copyright © Marin Mikša 2007.-2012.</v>
      </c>
      <c r="E59" s="2"/>
      <c r="F59" s="2"/>
      <c r="G59" s="450"/>
    </row>
    <row r="60" spans="1:7" x14ac:dyDescent="0.2">
      <c r="A60" s="8"/>
      <c r="B60" s="2"/>
      <c r="C60" s="2"/>
      <c r="D60" s="451"/>
      <c r="E60" s="2"/>
      <c r="F60" s="2"/>
      <c r="G60" s="2"/>
    </row>
  </sheetData>
  <sheetProtection password="CC5C" sheet="1" sort="0" autoFilter="0"/>
  <mergeCells count="4">
    <mergeCell ref="F1:G3"/>
    <mergeCell ref="A1:B3"/>
    <mergeCell ref="B10:F20"/>
    <mergeCell ref="B22:F32"/>
  </mergeCells>
  <phoneticPr fontId="16" type="noConversion"/>
  <printOptions horizontalCentered="1"/>
  <pageMargins left="0.19685039370078741" right="0.19685039370078741" top="0.19685039370078741" bottom="0.39370078740157483" header="0.51181102362204722" footer="0.51181102362204722"/>
  <pageSetup paperSize="9" scale="98" orientation="portrait" horizontalDpi="1200" verticalDpi="12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18</vt:i4>
      </vt:variant>
    </vt:vector>
  </HeadingPairs>
  <TitlesOfParts>
    <vt:vector size="28" baseType="lpstr">
      <vt:lpstr>Prekrsaj pravila</vt:lpstr>
      <vt:lpstr>Izvjestaj</vt:lpstr>
      <vt:lpstr>Pocetna</vt:lpstr>
      <vt:lpstr>Lista prijave</vt:lpstr>
      <vt:lpstr>Si GT priprema</vt:lpstr>
      <vt:lpstr>Si GT 32</vt:lpstr>
      <vt:lpstr>Si Q priprema</vt:lpstr>
      <vt:lpstr>Si Q RR64</vt:lpstr>
      <vt:lpstr>Do priprema</vt:lpstr>
      <vt:lpstr>Do 8</vt:lpstr>
      <vt:lpstr>'Do 8'!Print_Area</vt:lpstr>
      <vt:lpstr>'Do priprema'!Print_Area</vt:lpstr>
      <vt:lpstr>Izvjestaj!Print_Area</vt:lpstr>
      <vt:lpstr>'Lista prijave'!Print_Area</vt:lpstr>
      <vt:lpstr>MacroCheck!Print_Area</vt:lpstr>
      <vt:lpstr>Pocetna!Print_Area</vt:lpstr>
      <vt:lpstr>'Prekrsaj pravila'!Print_Area</vt:lpstr>
      <vt:lpstr>'Si GT 32'!Print_Area</vt:lpstr>
      <vt:lpstr>'Si GT priprema'!Print_Area</vt:lpstr>
      <vt:lpstr>'Si Q priprema'!Print_Area</vt:lpstr>
      <vt:lpstr>'Si Q RR64'!Print_Area</vt:lpstr>
      <vt:lpstr>'Do priprema'!Print_Titles</vt:lpstr>
      <vt:lpstr>Izvjestaj!Print_Titles</vt:lpstr>
      <vt:lpstr>'Lista prijave'!Print_Titles</vt:lpstr>
      <vt:lpstr>'Prekrsaj pravila'!Print_Titles</vt:lpstr>
      <vt:lpstr>'Si GT priprema'!Print_Titles</vt:lpstr>
      <vt:lpstr>'Si Q priprema'!Print_Titles</vt:lpstr>
      <vt:lpstr>'Si Q RR64'!Print_Titles</vt:lpstr>
    </vt:vector>
  </TitlesOfParts>
  <Manager>Zbor Teniskih Sudaca Hrvatske</Manager>
  <Company>Hrvatski Teniski Savez</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Mladen</dc:creator>
  <cp:keywords>HTS, ZTSH, kostur</cp:keywords>
  <dc:description>HTS Kosturi 2007.-2009.
   Hrvatski Teniski Savez
   Zbor Teniskih Sudaca Hrvatske
   Copyright © Marin Mikša</dc:description>
  <cp:lastModifiedBy>Korisnik</cp:lastModifiedBy>
  <cp:lastPrinted>2016-04-26T09:30:57Z</cp:lastPrinted>
  <dcterms:created xsi:type="dcterms:W3CDTF">2006-11-29T09:15:08Z</dcterms:created>
  <dcterms:modified xsi:type="dcterms:W3CDTF">2016-04-26T10:47:39Z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Marin Mikša</vt:lpwstr>
  </property>
</Properties>
</file>